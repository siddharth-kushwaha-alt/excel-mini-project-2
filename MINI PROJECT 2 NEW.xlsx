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CAREER 247 DA\"/>
    </mc:Choice>
  </mc:AlternateContent>
  <xr:revisionPtr revIDLastSave="0" documentId="13_ncr:1_{AC9405EA-4AA5-4A4A-BDAE-A1EB8D7AC1CB}" xr6:coauthVersionLast="47" xr6:coauthVersionMax="47" xr10:uidLastSave="{00000000-0000-0000-0000-000000000000}"/>
  <bookViews>
    <workbookView xWindow="-110" yWindow="-110" windowWidth="19420" windowHeight="11020" firstSheet="7" activeTab="11" xr2:uid="{00000000-000D-0000-FFFF-FFFF00000000}"/>
  </bookViews>
  <sheets>
    <sheet name="MonthlySalesData" sheetId="2" r:id="rId1"/>
    <sheet name="EmployeeMaster" sheetId="1" r:id="rId2"/>
    <sheet name="RegionBenchmarks" sheetId="3" r:id="rId3"/>
    <sheet name="Total revenue " sheetId="4" r:id="rId4"/>
    <sheet name="Avg Unit sold" sheetId="7" r:id="rId5"/>
    <sheet name="Grouped Transactions " sheetId="12" r:id="rId6"/>
    <sheet name="Revenue ranges " sheetId="21" r:id="rId7"/>
    <sheet name="Performance" sheetId="14" r:id="rId8"/>
    <sheet name="Drill down " sheetId="19" r:id="rId9"/>
    <sheet name="Bonus " sheetId="22" r:id="rId10"/>
    <sheet name="Benchmarks " sheetId="23" r:id="rId11"/>
    <sheet name="Brainstorming questions" sheetId="24" r:id="rId12"/>
  </sheets>
  <calcPr calcId="191029"/>
  <pivotCaches>
    <pivotCache cacheId="39" r:id="rId13"/>
    <pivotCache cacheId="40" r:id="rId14"/>
    <pivotCache cacheId="41" r:id="rId15"/>
    <pivotCache cacheId="42" r:id="rId16"/>
    <pivotCache cacheId="45" r:id="rId17"/>
    <pivotCache cacheId="74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MQG2pwHORhAZS/L5gdgjl/ipX/QQzGZ5OSrOXSM9+0k="/>
    </ext>
  </extLst>
</workbook>
</file>

<file path=xl/calcChain.xml><?xml version="1.0" encoding="utf-8"?>
<calcChain xmlns="http://schemas.openxmlformats.org/spreadsheetml/2006/main">
  <c r="D3" i="22" l="1"/>
  <c r="D4" i="22"/>
  <c r="D5" i="22"/>
  <c r="D6" i="22"/>
  <c r="D7" i="22"/>
  <c r="D8" i="22"/>
  <c r="D9" i="22"/>
  <c r="D2" i="2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2" i="2"/>
  <c r="C3" i="23"/>
  <c r="C4" i="23"/>
  <c r="C5" i="23"/>
  <c r="C6" i="23"/>
  <c r="C2" i="23"/>
  <c r="J5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J3" i="2"/>
  <c r="J4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2" i="2"/>
</calcChain>
</file>

<file path=xl/sharedStrings.xml><?xml version="1.0" encoding="utf-8"?>
<sst xmlns="http://schemas.openxmlformats.org/spreadsheetml/2006/main" count="786" uniqueCount="127">
  <si>
    <t>Employee ID</t>
  </si>
  <si>
    <t>Name</t>
  </si>
  <si>
    <t>Department</t>
  </si>
  <si>
    <t>Designation</t>
  </si>
  <si>
    <t>Region</t>
  </si>
  <si>
    <t>Date of Joining</t>
  </si>
  <si>
    <t>Status</t>
  </si>
  <si>
    <t>EMP001</t>
  </si>
  <si>
    <t>Lynda Smith</t>
  </si>
  <si>
    <t>Sales</t>
  </si>
  <si>
    <t>Sales Executive</t>
  </si>
  <si>
    <t>North</t>
  </si>
  <si>
    <t>03/01/2019</t>
  </si>
  <si>
    <t>Active</t>
  </si>
  <si>
    <t>EMP002</t>
  </si>
  <si>
    <t>Raj Mehta</t>
  </si>
  <si>
    <t>Marketing</t>
  </si>
  <si>
    <t>Marketing Lead</t>
  </si>
  <si>
    <t>South</t>
  </si>
  <si>
    <t>07/15/2020</t>
  </si>
  <si>
    <t>EMP003</t>
  </si>
  <si>
    <t>Ronn Robinson</t>
  </si>
  <si>
    <t>Sr. Sales Exec.</t>
  </si>
  <si>
    <t>East</t>
  </si>
  <si>
    <t>11/20/2018</t>
  </si>
  <si>
    <t>Inactive</t>
  </si>
  <si>
    <t>EMP004</t>
  </si>
  <si>
    <t>Christi Davis</t>
  </si>
  <si>
    <t>Operations</t>
  </si>
  <si>
    <t>Ops Manager</t>
  </si>
  <si>
    <t>West</t>
  </si>
  <si>
    <t>01/10/2021</t>
  </si>
  <si>
    <t>EMP005</t>
  </si>
  <si>
    <t>Joe Lyn</t>
  </si>
  <si>
    <t>Sales Associate</t>
  </si>
  <si>
    <t>Central</t>
  </si>
  <si>
    <t>05/05/2020</t>
  </si>
  <si>
    <t>EMP006</t>
  </si>
  <si>
    <t>Fatima Zhang</t>
  </si>
  <si>
    <t>08/30/2019</t>
  </si>
  <si>
    <t>EMP007</t>
  </si>
  <si>
    <t>Martina Brands</t>
  </si>
  <si>
    <t>Brand Manager</t>
  </si>
  <si>
    <t>02/17/2021</t>
  </si>
  <si>
    <t>EMP008</t>
  </si>
  <si>
    <t>John Taylor</t>
  </si>
  <si>
    <t>Sales Manager</t>
  </si>
  <si>
    <t>06/23/2017</t>
  </si>
  <si>
    <t>Transaction ID</t>
  </si>
  <si>
    <t>Sale Date</t>
  </si>
  <si>
    <t>Month</t>
  </si>
  <si>
    <t>Product Category</t>
  </si>
  <si>
    <t>Units Sold</t>
  </si>
  <si>
    <t>Revenue</t>
  </si>
  <si>
    <t>Target</t>
  </si>
  <si>
    <t>JAN</t>
  </si>
  <si>
    <t>Electronics</t>
  </si>
  <si>
    <t>Stationery</t>
  </si>
  <si>
    <t>Furniture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</si>
  <si>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</si>
  <si>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</si>
  <si>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</si>
  <si>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</si>
  <si>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</si>
  <si>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</si>
  <si>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</si>
  <si>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</si>
  <si>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</si>
  <si>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</si>
  <si>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</si>
  <si>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Benchmark Target</t>
  </si>
  <si>
    <t>Sum of Revenue</t>
  </si>
  <si>
    <t>Row Labels</t>
  </si>
  <si>
    <t>Grand Total</t>
  </si>
  <si>
    <t>(All)</t>
  </si>
  <si>
    <t>Average of Units Sold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</si>
  <si>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</si>
  <si>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</si>
  <si>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</si>
  <si>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</si>
  <si>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</si>
  <si>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</si>
  <si>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</si>
  <si>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</si>
  <si>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</si>
  <si>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</si>
  <si>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</si>
  <si>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</si>
  <si>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Transaction ID</t>
  </si>
  <si>
    <t>Qtr1</t>
  </si>
  <si>
    <t>Qtr2</t>
  </si>
  <si>
    <t>Qtr3</t>
  </si>
  <si>
    <t>Qtr4</t>
  </si>
  <si>
    <t xml:space="preserve">Revenue ranges </t>
  </si>
  <si>
    <t>Count of Units Sold</t>
  </si>
  <si>
    <t>Details for Sum of Revenue - Region: West</t>
  </si>
  <si>
    <t>Details for Sum of Revenue - Region: Central</t>
  </si>
  <si>
    <t xml:space="preserve">Name </t>
  </si>
  <si>
    <t xml:space="preserve">Region </t>
  </si>
  <si>
    <t>Count of Employee ID</t>
  </si>
  <si>
    <t>20000-29999</t>
  </si>
  <si>
    <t>30000-39999</t>
  </si>
  <si>
    <t>40000-49999</t>
  </si>
  <si>
    <t>50000-59999</t>
  </si>
  <si>
    <t>60000-69999</t>
  </si>
  <si>
    <t>70000-79999</t>
  </si>
  <si>
    <t>80000-89999</t>
  </si>
  <si>
    <t>90000-99999</t>
  </si>
  <si>
    <t>100000-109999</t>
  </si>
  <si>
    <t>110000-120000</t>
  </si>
  <si>
    <t>Sales Target Achievement%</t>
  </si>
  <si>
    <t>Sum of Target</t>
  </si>
  <si>
    <t>BONUS</t>
  </si>
  <si>
    <t xml:space="preserve">Benchmarks </t>
  </si>
  <si>
    <t xml:space="preserve">Ans - 1       </t>
  </si>
  <si>
    <t xml:space="preserve">The sales department had the highest total revenue this quarter across all the regions and product categories </t>
  </si>
  <si>
    <t>Ans - 2</t>
  </si>
  <si>
    <t xml:space="preserve">Benchmark Target </t>
  </si>
  <si>
    <t xml:space="preserve">Yes the employee EMPOO5 (Joe Lyn) met all the targets in every recorded months Joe Lyn was always equal to or higher than the monthly sales target values </t>
  </si>
  <si>
    <t xml:space="preserve">Ans - 3 </t>
  </si>
  <si>
    <t xml:space="preserve">The central region showed a pattern of declining performance after grouping sales by month </t>
  </si>
  <si>
    <t xml:space="preserve">Ans - 4 </t>
  </si>
  <si>
    <t xml:space="preserve">XLOOKUP simplified linking datasets by allowing dynamic info of employee region department and targets when analyzing data and XLOOKUP is flexible and error free </t>
  </si>
  <si>
    <t>Ans - 5</t>
  </si>
  <si>
    <t>Conditional Formatting : To highlight employees who exceed or missed targets making trends visually clear</t>
  </si>
  <si>
    <t xml:space="preserve">Data Validation : To do input and ensure accuracy when updating data </t>
  </si>
  <si>
    <t>(Showed in the pivot table below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</si>
</sst>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"/>
    <numFmt numFmtId="165" formatCode="0.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4" fontId="5" fillId="0" borderId="4" xfId="0" applyNumberFormat="1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3" fontId="6" fillId="0" borderId="1" xfId="0" applyNumberFormat="1" applyFont="1" applyBorder="1"/>
    <xf numFmtId="3" fontId="6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0" fontId="1" fillId="0" borderId="0" xfId="0" applyFont="1"/>
    <xf numFmtId="0" fontId="7" fillId="0" borderId="5" xfId="0" applyFont="1" applyBorder="1" applyAlignment="1">
      <alignment horizontal="left" vertical="center"/>
    </xf>
    <xf numFmtId="14" fontId="0" fillId="0" borderId="0" xfId="0" applyNumberFormat="1"/>
    <xf numFmtId="0" fontId="4" fillId="0" borderId="0" xfId="0" applyFont="1"/>
    <xf numFmtId="2" fontId="0" fillId="0" borderId="0" xfId="0" applyNumberFormat="1"/>
    <xf numFmtId="0" fontId="8" fillId="0" borderId="0" xfId="0" applyFont="1"/>
    <xf numFmtId="0" fontId="8" fillId="0" borderId="6" xfId="0" applyFont="1" applyBorder="1"/>
    <xf numFmtId="0" fontId="0" fillId="0" borderId="6" xfId="0" applyBorder="1"/>
    <xf numFmtId="0" fontId="0" fillId="0" borderId="0" xfId="0" applyNumberFormat="1"/>
    <xf numFmtId="0" fontId="7" fillId="0" borderId="5" xfId="0" applyFont="1" applyFill="1" applyBorder="1" applyAlignment="1">
      <alignment horizontal="left" vertical="center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2.822616319441" createdVersion="8" refreshedVersion="8" minRefreshableVersion="3" recordCount="100" xr:uid="{A3C86ECA-FB69-47C3-A4B8-A29F2E35D3EE}">
  <cacheSource type="worksheet">
    <worksheetSource ref="A1:I101" sheet="MonthlySalesData"/>
  </cacheSource>
  <cacheFields count="9">
    <cacheField name="Transaction ID" numFmtId="0">
      <sharedItems containsSemiMixedTypes="0" containsString="0" containsNumber="1" containsInteger="1" minValue="112584" maxValue="985975"/>
    </cacheField>
    <cacheField name="Sale Date" numFmtId="14">
      <sharedItems containsSemiMixedTypes="0" containsNonDate="0" containsDate="1" containsString="0" minDate="2023-01-07T00:00:00" maxDate="2023-12-30T00:00:00"/>
    </cacheField>
    <cacheField name="Employee ID" numFmtId="0">
      <sharedItems count="8">
        <s v="EMP002"/>
        <s v="EMP003"/>
        <s v="EMP007"/>
        <s v="EMP001"/>
        <s v="EMP006"/>
        <s v="EMP008"/>
        <s v="EMP005"/>
        <s v="EMP004"/>
      </sharedItems>
    </cacheField>
    <cacheField name="Month" numFmtId="16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duct Category" numFmtId="0">
      <sharedItems count="3">
        <s v="Electronics"/>
        <s v="Stationery"/>
        <s v="Furniture"/>
      </sharedItems>
    </cacheField>
    <cacheField name="Units Sold" numFmtId="0">
      <sharedItems containsSemiMixedTypes="0" containsString="0" containsNumber="1" containsInteger="1" minValue="20" maxValue="60"/>
    </cacheField>
    <cacheField name="Revenue" numFmtId="0">
      <sharedItems containsSemiMixedTypes="0" containsString="0" containsNumber="1" containsInteger="1" minValue="21440" maxValue="111240"/>
    </cacheField>
    <cacheField name="Target" numFmtId="0">
      <sharedItems containsSemiMixedTypes="0" containsString="0" containsNumber="1" containsInteger="1" minValue="14109" maxValue="110263"/>
    </cacheField>
    <cacheField name="Region" numFmtId="0">
      <sharedItems count="5">
        <s v="South"/>
        <s v="East"/>
        <s v="North"/>
        <s v="Central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5.899688078702" createdVersion="8" refreshedVersion="8" minRefreshableVersion="3" recordCount="100" xr:uid="{8A0B4C01-1283-4C87-8BC2-CD0AC2F2ED2F}">
  <cacheSource type="worksheet">
    <worksheetSource ref="A1:J101" sheet="MonthlySalesData"/>
  </cacheSource>
  <cacheFields count="12">
    <cacheField name="Transaction ID" numFmtId="0">
      <sharedItems containsSemiMixedTypes="0" containsString="0" containsNumber="1" containsInteger="1" minValue="112584" maxValue="985975"/>
    </cacheField>
    <cacheField name="Sale Date" numFmtId="14">
      <sharedItems containsSemiMixedTypes="0" containsNonDate="0" containsDate="1" containsString="0" minDate="2023-01-07T00:00:00" maxDate="2023-12-30T00:00:00" count="80">
        <d v="2023-02-22T00:00:00"/>
        <d v="2023-10-11T00:00:00"/>
        <d v="2023-05-05T00:00:00"/>
        <d v="2023-02-02T00:00:00"/>
        <d v="2023-11-01T00:00:00"/>
        <d v="2023-08-14T00:00:00"/>
        <d v="2023-04-01T00:00:00"/>
        <d v="2023-07-21T00:00:00"/>
        <d v="2023-12-29T00:00:00"/>
        <d v="2023-05-04T00:00:00"/>
        <d v="2023-07-25T00:00:00"/>
        <d v="2023-02-25T00:00:00"/>
        <d v="2023-02-24T00:00:00"/>
        <d v="2023-08-26T00:00:00"/>
        <d v="2023-02-13T00:00:00"/>
        <d v="2023-06-28T00:00:00"/>
        <d v="2023-11-28T00:00:00"/>
        <d v="2023-08-25T00:00:00"/>
        <d v="2023-04-12T00:00:00"/>
        <d v="2023-10-02T00:00:00"/>
        <d v="2023-11-09T00:00:00"/>
        <d v="2023-11-02T00:00:00"/>
        <d v="2023-05-28T00:00:00"/>
        <d v="2023-10-15T00:00:00"/>
        <d v="2023-01-16T00:00:00"/>
        <d v="2023-10-09T00:00:00"/>
        <d v="2023-10-07T00:00:00"/>
        <d v="2023-02-14T00:00:00"/>
        <d v="2023-03-26T00:00:00"/>
        <d v="2023-06-15T00:00:00"/>
        <d v="2023-05-22T00:00:00"/>
        <d v="2023-11-20T00:00:00"/>
        <d v="2023-12-22T00:00:00"/>
        <d v="2023-07-23T00:00:00"/>
        <d v="2023-10-17T00:00:00"/>
        <d v="2023-08-22T00:00:00"/>
        <d v="2023-12-02T00:00:00"/>
        <d v="2023-12-25T00:00:00"/>
        <d v="2023-09-23T00:00:00"/>
        <d v="2023-07-16T00:00:00"/>
        <d v="2023-02-05T00:00:00"/>
        <d v="2023-12-18T00:00:00"/>
        <d v="2023-06-11T00:00:00"/>
        <d v="2023-12-04T00:00:00"/>
        <d v="2023-07-17T00:00:00"/>
        <d v="2023-10-19T00:00:00"/>
        <d v="2023-05-15T00:00:00"/>
        <d v="2023-02-12T00:00:00"/>
        <d v="2023-01-30T00:00:00"/>
        <d v="2023-03-06T00:00:00"/>
        <d v="2023-10-18T00:00:00"/>
        <d v="2023-01-07T00:00:00"/>
        <d v="2023-05-08T00:00:00"/>
        <d v="2023-04-02T00:00:00"/>
        <d v="2023-09-10T00:00:00"/>
        <d v="2023-11-22T00:00:00"/>
        <d v="2023-05-02T00:00:00"/>
        <d v="2023-05-20T00:00:00"/>
        <d v="2023-07-28T00:00:00"/>
        <d v="2023-07-02T00:00:00"/>
        <d v="2023-03-07T00:00:00"/>
        <d v="2023-07-22T00:00:00"/>
        <d v="2023-01-18T00:00:00"/>
        <d v="2023-05-24T00:00:00"/>
        <d v="2023-09-03T00:00:00"/>
        <d v="2023-12-03T00:00:00"/>
        <d v="2023-10-16T00:00:00"/>
        <d v="2023-11-05T00:00:00"/>
        <d v="2023-10-28T00:00:00"/>
        <d v="2023-11-10T00:00:00"/>
        <d v="2023-07-13T00:00:00"/>
        <d v="2023-06-23T00:00:00"/>
        <d v="2023-02-21T00:00:00"/>
        <d v="2023-02-19T00:00:00"/>
        <d v="2023-12-05T00:00:00"/>
        <d v="2023-06-07T00:00:00"/>
        <d v="2023-07-09T00:00:00"/>
        <d v="2023-12-23T00:00:00"/>
        <d v="2023-09-25T00:00:00"/>
        <d v="2023-03-27T00:00:00"/>
      </sharedItems>
      <fieldGroup par="11"/>
    </cacheField>
    <cacheField name="Employee ID" numFmtId="0">
      <sharedItems count="8">
        <s v="EMP002"/>
        <s v="EMP003"/>
        <s v="EMP007"/>
        <s v="EMP001"/>
        <s v="EMP006"/>
        <s v="EMP008"/>
        <s v="EMP005"/>
        <s v="EMP004"/>
      </sharedItems>
    </cacheField>
    <cacheField name="Month" numFmtId="16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duct Category" numFmtId="0">
      <sharedItems/>
    </cacheField>
    <cacheField name="Units Sold" numFmtId="0">
      <sharedItems containsSemiMixedTypes="0" containsString="0" containsNumber="1" containsInteger="1" minValue="20" maxValue="60"/>
    </cacheField>
    <cacheField name="Revenue" numFmtId="0">
      <sharedItems containsSemiMixedTypes="0" containsString="0" containsNumber="1" containsInteger="1" minValue="21440" maxValue="111240"/>
    </cacheField>
    <cacheField name="Target" numFmtId="0">
      <sharedItems containsSemiMixedTypes="0" containsString="0" containsNumber="1" containsInteger="1" minValue="14109" maxValue="110263"/>
    </cacheField>
    <cacheField name="Region" numFmtId="0">
      <sharedItems/>
    </cacheField>
    <cacheField name="Department" numFmtId="0">
      <sharedItems count="3">
        <s v="Marketing"/>
        <s v="Sales"/>
        <s v="Operations"/>
      </sharedItems>
    </cacheField>
    <cacheField name="Months (Sale Date)" numFmtId="0" databaseField="0">
      <fieldGroup base="1">
        <rangePr groupBy="months" startDate="2023-01-07T00:00:00" endDate="2023-12-30T00:00:00"/>
        <groupItems count="14">
          <s v="&lt;1/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23"/>
        </groupItems>
      </fieldGroup>
    </cacheField>
    <cacheField name="Quarters (Sale Date)" numFmtId="0" databaseField="0">
      <fieldGroup base="1">
        <rangePr groupBy="quarters" startDate="2023-01-07T00:00:00" endDate="2023-12-30T00:00:00"/>
        <groupItems count="6">
          <s v="&lt;1/7/2023"/>
          <s v="Qtr1"/>
          <s v="Qtr2"/>
          <s v="Qtr3"/>
          <s v="Qtr4"/>
          <s v="&gt;12/3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5.941843749999" createdVersion="8" refreshedVersion="8" minRefreshableVersion="3" recordCount="100" xr:uid="{4F090E98-1C9A-4AB5-83A8-085273871A47}">
  <cacheSource type="worksheet">
    <worksheetSource ref="A1:J101" sheet="MonthlySalesData"/>
  </cacheSource>
  <cacheFields count="11">
    <cacheField name="Transaction ID" numFmtId="0">
      <sharedItems containsSemiMixedTypes="0" containsString="0" containsNumber="1" containsInteger="1" minValue="112584" maxValue="985975"/>
    </cacheField>
    <cacheField name="Sale Date" numFmtId="14">
      <sharedItems containsSemiMixedTypes="0" containsNonDate="0" containsDate="1" containsString="0" minDate="2023-01-07T00:00:00" maxDate="2023-12-30T00:00:00"/>
    </cacheField>
    <cacheField name="Employee ID" numFmtId="0">
      <sharedItems count="8">
        <s v="EMP002"/>
        <s v="EMP003"/>
        <s v="EMP007"/>
        <s v="EMP001"/>
        <s v="EMP006"/>
        <s v="EMP008"/>
        <s v="EMP005"/>
        <s v="EMP004"/>
      </sharedItems>
    </cacheField>
    <cacheField name="Month" numFmtId="164">
      <sharedItems/>
    </cacheField>
    <cacheField name="Product Category" numFmtId="0">
      <sharedItems/>
    </cacheField>
    <cacheField name="Units Sold" numFmtId="0">
      <sharedItems containsSemiMixedTypes="0" containsString="0" containsNumber="1" containsInteger="1" minValue="20" maxValue="60"/>
    </cacheField>
    <cacheField name="Revenue" numFmtId="0">
      <sharedItems containsSemiMixedTypes="0" containsString="0" containsNumber="1" containsInteger="1" minValue="21440" maxValue="111240"/>
    </cacheField>
    <cacheField name="Target" numFmtId="0">
      <sharedItems containsSemiMixedTypes="0" containsString="0" containsNumber="1" containsInteger="1" minValue="14109" maxValue="110263"/>
    </cacheField>
    <cacheField name="Region" numFmtId="0">
      <sharedItems count="5">
        <s v="South"/>
        <s v="East"/>
        <s v="North"/>
        <s v="Central"/>
        <s v="West"/>
      </sharedItems>
    </cacheField>
    <cacheField name="Department" numFmtId="0">
      <sharedItems/>
    </cacheField>
    <cacheField name="Revenue ranges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5.952802430555" createdVersion="8" refreshedVersion="8" minRefreshableVersion="3" recordCount="100" xr:uid="{F23DC1EE-C18E-424A-BB45-6D0224C7CB5F}">
  <cacheSource type="worksheet">
    <worksheetSource ref="A1:K101" sheet="MonthlySalesData"/>
  </cacheSource>
  <cacheFields count="12">
    <cacheField name="Transaction ID" numFmtId="0">
      <sharedItems containsSemiMixedTypes="0" containsString="0" containsNumber="1" containsInteger="1" minValue="112584" maxValue="985975"/>
    </cacheField>
    <cacheField name="Sale Date" numFmtId="14">
      <sharedItems containsSemiMixedTypes="0" containsNonDate="0" containsDate="1" containsString="0" minDate="2023-01-07T00:00:00" maxDate="2023-12-30T00:00:00"/>
    </cacheField>
    <cacheField name="Employee ID" numFmtId="0">
      <sharedItems count="8">
        <s v="EMP002"/>
        <s v="EMP003"/>
        <s v="EMP007"/>
        <s v="EMP001"/>
        <s v="EMP006"/>
        <s v="EMP008"/>
        <s v="EMP005"/>
        <s v="EMP004"/>
      </sharedItems>
    </cacheField>
    <cacheField name="Month" numFmtId="164">
      <sharedItems/>
    </cacheField>
    <cacheField name="Product Category" numFmtId="0">
      <sharedItems/>
    </cacheField>
    <cacheField name="Units Sold" numFmtId="0">
      <sharedItems containsSemiMixedTypes="0" containsString="0" containsNumber="1" containsInteger="1" minValue="20" maxValue="60"/>
    </cacheField>
    <cacheField name="Revenue" numFmtId="0">
      <sharedItems containsSemiMixedTypes="0" containsString="0" containsNumber="1" containsInteger="1" minValue="21440" maxValue="111240" count="99">
        <n v="36939"/>
        <n v="43992"/>
        <n v="22660"/>
        <n v="66165"/>
        <n v="49606"/>
        <n v="63356"/>
        <n v="28444"/>
        <n v="73660"/>
        <n v="60858"/>
        <n v="97980"/>
        <n v="25104"/>
        <n v="64158"/>
        <n v="111240"/>
        <n v="55638"/>
        <n v="95700"/>
        <n v="44190"/>
        <n v="74520"/>
        <n v="56400"/>
        <n v="55143"/>
        <n v="36859"/>
        <n v="81966"/>
        <n v="38794"/>
        <n v="31212"/>
        <n v="61770"/>
        <n v="66621"/>
        <n v="95472"/>
        <n v="54910"/>
        <n v="92560"/>
        <n v="91140"/>
        <n v="46560"/>
        <n v="51969"/>
        <n v="28658"/>
        <n v="93585"/>
        <n v="98450"/>
        <n v="64383"/>
        <n v="54912"/>
        <n v="77486"/>
        <n v="41861"/>
        <n v="21440"/>
        <n v="46248"/>
        <n v="62345"/>
        <n v="89040"/>
        <n v="35072"/>
        <n v="66740"/>
        <n v="32476"/>
        <n v="38208"/>
        <n v="39835"/>
        <n v="60500"/>
        <n v="48700"/>
        <n v="76092"/>
        <n v="44088"/>
        <n v="80511"/>
        <n v="34626"/>
        <n v="42320"/>
        <n v="45609"/>
        <n v="62002"/>
        <n v="70112"/>
        <n v="76958"/>
        <n v="43524"/>
        <n v="50580"/>
        <n v="64827"/>
        <n v="92984"/>
        <n v="66092"/>
        <n v="55513"/>
        <n v="107734"/>
        <n v="50986"/>
        <n v="45760"/>
        <n v="70470"/>
        <n v="78000"/>
        <n v="38665"/>
        <n v="52770"/>
        <n v="55495"/>
        <n v="55944"/>
        <n v="53110"/>
        <n v="51030"/>
        <n v="75516"/>
        <n v="65975"/>
        <n v="54374"/>
        <n v="43031"/>
        <n v="41338"/>
        <n v="55104"/>
        <n v="45056"/>
        <n v="69552"/>
        <n v="23478"/>
        <n v="24442"/>
        <n v="76140"/>
        <n v="37620"/>
        <n v="61963"/>
        <n v="46899"/>
        <n v="61364"/>
        <n v="93338"/>
        <n v="50427"/>
        <n v="71148"/>
        <n v="50220"/>
        <n v="45950"/>
        <n v="62050"/>
        <n v="52010"/>
        <n v="95340"/>
        <n v="71859"/>
      </sharedItems>
      <fieldGroup base="6">
        <rangePr autoStart="0" autoEnd="0" startNum="20000" endNum="120000" groupInterval="10000"/>
        <groupItems count="12">
          <s v="&lt;20000"/>
          <s v="20000-29999"/>
          <s v="30000-39999"/>
          <s v="40000-49999"/>
          <s v="50000-59999"/>
          <s v="60000-69999"/>
          <s v="70000-79999"/>
          <s v="80000-89999"/>
          <s v="90000-99999"/>
          <s v="100000-109999"/>
          <s v="110000-120000"/>
          <s v="&gt;120000"/>
        </groupItems>
      </fieldGroup>
    </cacheField>
    <cacheField name="Target" numFmtId="0">
      <sharedItems containsSemiMixedTypes="0" containsString="0" containsNumber="1" containsInteger="1" minValue="14109" maxValue="110263"/>
    </cacheField>
    <cacheField name="Region" numFmtId="0">
      <sharedItems/>
    </cacheField>
    <cacheField name="Department" numFmtId="0">
      <sharedItems/>
    </cacheField>
    <cacheField name="Revenue ranges " numFmtId="0">
      <sharedItems containsNonDate="0" containsString="0" containsBlank="1"/>
    </cacheField>
    <cacheField name="Name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6.000082986109" createdVersion="8" refreshedVersion="8" minRefreshableVersion="3" recordCount="100" xr:uid="{3C1AA4B5-1FDF-429F-A270-A4BF534549D7}">
  <cacheSource type="worksheet">
    <worksheetSource ref="A1:N101" sheet="MonthlySalesData"/>
  </cacheSource>
  <cacheFields count="14">
    <cacheField name="Transaction ID" numFmtId="0">
      <sharedItems containsSemiMixedTypes="0" containsString="0" containsNumber="1" containsInteger="1" minValue="112584" maxValue="985975"/>
    </cacheField>
    <cacheField name="Sale Date" numFmtId="14">
      <sharedItems containsSemiMixedTypes="0" containsNonDate="0" containsDate="1" containsString="0" minDate="2023-01-07T00:00:00" maxDate="2023-12-30T00:00:00"/>
    </cacheField>
    <cacheField name="Employee ID" numFmtId="0">
      <sharedItems count="8">
        <s v="EMP002"/>
        <s v="EMP003"/>
        <s v="EMP007"/>
        <s v="EMP001"/>
        <s v="EMP006"/>
        <s v="EMP008"/>
        <s v="EMP005"/>
        <s v="EMP004"/>
      </sharedItems>
    </cacheField>
    <cacheField name="Month" numFmtId="164">
      <sharedItems/>
    </cacheField>
    <cacheField name="Product Category" numFmtId="0">
      <sharedItems/>
    </cacheField>
    <cacheField name="Units Sold" numFmtId="0">
      <sharedItems containsSemiMixedTypes="0" containsString="0" containsNumber="1" containsInteger="1" minValue="20" maxValue="60"/>
    </cacheField>
    <cacheField name="Revenue" numFmtId="0">
      <sharedItems containsSemiMixedTypes="0" containsString="0" containsNumber="1" containsInteger="1" minValue="21440" maxValue="111240"/>
    </cacheField>
    <cacheField name="Target" numFmtId="0">
      <sharedItems containsSemiMixedTypes="0" containsString="0" containsNumber="1" containsInteger="1" minValue="14109" maxValue="110263" count="100">
        <n v="37433"/>
        <n v="36857"/>
        <n v="26125"/>
        <n v="59434"/>
        <n v="44952"/>
        <n v="63804"/>
        <n v="27220"/>
        <n v="65437"/>
        <n v="59657"/>
        <n v="88473"/>
        <n v="19270"/>
        <n v="67504"/>
        <n v="110263"/>
        <n v="56264"/>
        <n v="97897"/>
        <n v="42974"/>
        <n v="66932"/>
        <n v="57014"/>
        <n v="51964"/>
        <n v="39572"/>
        <n v="72257"/>
        <n v="35446"/>
        <n v="25932"/>
        <n v="60466"/>
        <n v="62557"/>
        <n v="96101"/>
        <n v="57319"/>
        <n v="94633"/>
        <n v="86163"/>
        <n v="38803"/>
        <n v="55137"/>
        <n v="19273"/>
        <n v="97452"/>
        <n v="94443"/>
        <n v="60548"/>
        <n v="48908"/>
        <n v="80504"/>
        <n v="37223"/>
        <n v="14843"/>
        <n v="50734"/>
        <n v="59392"/>
        <n v="86296"/>
        <n v="38484"/>
        <n v="64089"/>
        <n v="25545"/>
        <n v="34422"/>
        <n v="37256"/>
        <n v="64672"/>
        <n v="41354"/>
        <n v="77590"/>
        <n v="42692"/>
        <n v="73543"/>
        <n v="34765"/>
        <n v="46499"/>
        <n v="42289"/>
        <n v="55940"/>
        <n v="65627"/>
        <n v="72396"/>
        <n v="37552"/>
        <n v="53436"/>
        <n v="57509"/>
        <n v="96346"/>
        <n v="68922"/>
        <n v="57929"/>
        <n v="102020"/>
        <n v="41599"/>
        <n v="41696"/>
        <n v="63713"/>
        <n v="78886"/>
        <n v="43607"/>
        <n v="50531"/>
        <n v="58663"/>
        <n v="47270"/>
        <n v="57425"/>
        <n v="44856"/>
        <n v="71343"/>
        <n v="68313"/>
        <n v="53932"/>
        <n v="35131"/>
        <n v="38627"/>
        <n v="46661"/>
        <n v="44678"/>
        <n v="66206"/>
        <n v="14109"/>
        <n v="19668"/>
        <n v="72761"/>
        <n v="31008"/>
        <n v="65817"/>
        <n v="37153"/>
        <n v="59772"/>
        <n v="39866"/>
        <n v="93408"/>
        <n v="51984"/>
        <n v="68904"/>
        <n v="53831"/>
        <n v="38644"/>
        <n v="63788"/>
        <n v="46995"/>
        <n v="97155"/>
        <n v="72862"/>
      </sharedItems>
    </cacheField>
    <cacheField name="Region" numFmtId="0">
      <sharedItems count="5">
        <s v="South"/>
        <s v="East"/>
        <s v="North"/>
        <s v="Central"/>
        <s v="West"/>
      </sharedItems>
    </cacheField>
    <cacheField name="Department" numFmtId="0">
      <sharedItems count="3">
        <s v="Marketing"/>
        <s v="Sales"/>
        <s v="Operations"/>
      </sharedItems>
    </cacheField>
    <cacheField name="Name " numFmtId="0">
      <sharedItems/>
    </cacheField>
    <cacheField name="Designation" numFmtId="0">
      <sharedItems/>
    </cacheField>
    <cacheField name="Region " numFmtId="0">
      <sharedItems/>
    </cacheField>
    <cacheField name="Sales Target Achievement%" numFmtId="2">
      <sharedItems containsSemiMixedTypes="0" containsString="0" containsNumber="1" minValue="86.73684210526315" maxValue="166.404422708909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79.641094560182" createdVersion="8" refreshedVersion="8" minRefreshableVersion="3" recordCount="100" xr:uid="{0176235D-2533-4002-BDAA-40B09B6E92B7}">
  <cacheSource type="worksheet">
    <worksheetSource ref="A1:O101" sheet="MonthlySalesData"/>
  </cacheSource>
  <cacheFields count="15">
    <cacheField name="Transaction ID" numFmtId="0">
      <sharedItems containsSemiMixedTypes="0" containsString="0" containsNumber="1" containsInteger="1" minValue="112584" maxValue="985975"/>
    </cacheField>
    <cacheField name="Sale Date" numFmtId="14">
      <sharedItems containsSemiMixedTypes="0" containsNonDate="0" containsDate="1" containsString="0" minDate="2023-01-07T00:00:00" maxDate="2023-12-30T00:00:00"/>
    </cacheField>
    <cacheField name="Employee ID" numFmtId="0">
      <sharedItems count="8">
        <s v="EMP002"/>
        <s v="EMP003"/>
        <s v="EMP007"/>
        <s v="EMP001"/>
        <s v="EMP006"/>
        <s v="EMP008"/>
        <s v="EMP005"/>
        <s v="EMP004"/>
      </sharedItems>
    </cacheField>
    <cacheField name="Month" numFmtId="16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duct Category" numFmtId="0">
      <sharedItems/>
    </cacheField>
    <cacheField name="Units Sold" numFmtId="0">
      <sharedItems containsSemiMixedTypes="0" containsString="0" containsNumber="1" containsInteger="1" minValue="20" maxValue="60"/>
    </cacheField>
    <cacheField name="Revenue" numFmtId="0">
      <sharedItems containsSemiMixedTypes="0" containsString="0" containsNumber="1" containsInteger="1" minValue="21440" maxValue="111240" count="99">
        <n v="36939"/>
        <n v="43992"/>
        <n v="22660"/>
        <n v="66165"/>
        <n v="49606"/>
        <n v="63356"/>
        <n v="28444"/>
        <n v="73660"/>
        <n v="60858"/>
        <n v="97980"/>
        <n v="25104"/>
        <n v="64158"/>
        <n v="111240"/>
        <n v="55638"/>
        <n v="95700"/>
        <n v="44190"/>
        <n v="74520"/>
        <n v="56400"/>
        <n v="55143"/>
        <n v="36859"/>
        <n v="81966"/>
        <n v="38794"/>
        <n v="31212"/>
        <n v="61770"/>
        <n v="66621"/>
        <n v="95472"/>
        <n v="54910"/>
        <n v="92560"/>
        <n v="91140"/>
        <n v="46560"/>
        <n v="51969"/>
        <n v="28658"/>
        <n v="93585"/>
        <n v="98450"/>
        <n v="64383"/>
        <n v="54912"/>
        <n v="77486"/>
        <n v="41861"/>
        <n v="21440"/>
        <n v="46248"/>
        <n v="62345"/>
        <n v="89040"/>
        <n v="35072"/>
        <n v="66740"/>
        <n v="32476"/>
        <n v="38208"/>
        <n v="39835"/>
        <n v="60500"/>
        <n v="48700"/>
        <n v="76092"/>
        <n v="44088"/>
        <n v="80511"/>
        <n v="34626"/>
        <n v="42320"/>
        <n v="45609"/>
        <n v="62002"/>
        <n v="70112"/>
        <n v="76958"/>
        <n v="43524"/>
        <n v="50580"/>
        <n v="64827"/>
        <n v="92984"/>
        <n v="66092"/>
        <n v="55513"/>
        <n v="107734"/>
        <n v="50986"/>
        <n v="45760"/>
        <n v="70470"/>
        <n v="78000"/>
        <n v="38665"/>
        <n v="52770"/>
        <n v="55495"/>
        <n v="55944"/>
        <n v="53110"/>
        <n v="51030"/>
        <n v="75516"/>
        <n v="65975"/>
        <n v="54374"/>
        <n v="43031"/>
        <n v="41338"/>
        <n v="55104"/>
        <n v="45056"/>
        <n v="69552"/>
        <n v="23478"/>
        <n v="24442"/>
        <n v="76140"/>
        <n v="37620"/>
        <n v="61963"/>
        <n v="46899"/>
        <n v="61364"/>
        <n v="93338"/>
        <n v="50427"/>
        <n v="71148"/>
        <n v="50220"/>
        <n v="45950"/>
        <n v="62050"/>
        <n v="52010"/>
        <n v="95340"/>
        <n v="71859"/>
      </sharedItems>
    </cacheField>
    <cacheField name="Target" numFmtId="0">
      <sharedItems containsSemiMixedTypes="0" containsString="0" containsNumber="1" containsInteger="1" minValue="14109" maxValue="110263"/>
    </cacheField>
    <cacheField name="Region" numFmtId="0">
      <sharedItems count="5">
        <s v="South"/>
        <s v="East"/>
        <s v="North"/>
        <s v="Central"/>
        <s v="West"/>
      </sharedItems>
    </cacheField>
    <cacheField name="Department" numFmtId="0">
      <sharedItems/>
    </cacheField>
    <cacheField name="Name " numFmtId="0">
      <sharedItems/>
    </cacheField>
    <cacheField name="Designation" numFmtId="0">
      <sharedItems/>
    </cacheField>
    <cacheField name="Region " numFmtId="0">
      <sharedItems count="5">
        <s v="South"/>
        <s v="East"/>
        <s v="North"/>
        <s v="Central"/>
        <s v="West"/>
      </sharedItems>
    </cacheField>
    <cacheField name="Sales Target Achievement%" numFmtId="2">
      <sharedItems containsSemiMixedTypes="0" containsString="0" containsNumber="1" minValue="86.73684210526315" maxValue="166.40442270890921"/>
    </cacheField>
    <cacheField name="Benchmark Target " numFmtId="0">
      <sharedItems containsSemiMixedTypes="0" containsString="0" containsNumber="1" containsInteger="1" minValue="45000" maxValue="68500" count="5">
        <n v="60000"/>
        <n v="50000"/>
        <n v="68500"/>
        <n v="45000"/>
        <n v="5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770265"/>
    <d v="2023-02-22T00:00:00"/>
    <x v="0"/>
    <x v="0"/>
    <x v="0"/>
    <n v="21"/>
    <n v="36939"/>
    <n v="37433"/>
    <x v="0"/>
  </r>
  <r>
    <n v="562322"/>
    <d v="2023-10-11T00:00:00"/>
    <x v="1"/>
    <x v="0"/>
    <x v="0"/>
    <n v="26"/>
    <n v="43992"/>
    <n v="36857"/>
    <x v="1"/>
  </r>
  <r>
    <n v="897935"/>
    <d v="2023-05-05T00:00:00"/>
    <x v="2"/>
    <x v="0"/>
    <x v="0"/>
    <n v="22"/>
    <n v="22660"/>
    <n v="26125"/>
    <x v="2"/>
  </r>
  <r>
    <n v="531908"/>
    <d v="2023-02-02T00:00:00"/>
    <x v="3"/>
    <x v="0"/>
    <x v="1"/>
    <n v="55"/>
    <n v="66165"/>
    <n v="59434"/>
    <x v="2"/>
  </r>
  <r>
    <n v="208664"/>
    <d v="2023-11-01T00:00:00"/>
    <x v="2"/>
    <x v="0"/>
    <x v="0"/>
    <n v="34"/>
    <n v="49606"/>
    <n v="44952"/>
    <x v="2"/>
  </r>
  <r>
    <n v="690563"/>
    <d v="2023-08-14T00:00:00"/>
    <x v="1"/>
    <x v="0"/>
    <x v="0"/>
    <n v="47"/>
    <n v="63356"/>
    <n v="63804"/>
    <x v="1"/>
  </r>
  <r>
    <n v="484790"/>
    <d v="2023-04-01T00:00:00"/>
    <x v="4"/>
    <x v="0"/>
    <x v="2"/>
    <n v="26"/>
    <n v="28444"/>
    <n v="27220"/>
    <x v="0"/>
  </r>
  <r>
    <n v="424434"/>
    <d v="2023-07-21T00:00:00"/>
    <x v="4"/>
    <x v="0"/>
    <x v="1"/>
    <n v="58"/>
    <n v="73660"/>
    <n v="65437"/>
    <x v="0"/>
  </r>
  <r>
    <n v="190886"/>
    <d v="2023-12-29T00:00:00"/>
    <x v="5"/>
    <x v="1"/>
    <x v="1"/>
    <n v="54"/>
    <n v="60858"/>
    <n v="59657"/>
    <x v="1"/>
  </r>
  <r>
    <n v="655665"/>
    <d v="2023-05-04T00:00:00"/>
    <x v="6"/>
    <x v="1"/>
    <x v="1"/>
    <n v="60"/>
    <n v="97980"/>
    <n v="88473"/>
    <x v="3"/>
  </r>
  <r>
    <n v="624861"/>
    <d v="2023-07-25T00:00:00"/>
    <x v="7"/>
    <x v="1"/>
    <x v="2"/>
    <n v="24"/>
    <n v="25104"/>
    <n v="19270"/>
    <x v="4"/>
  </r>
  <r>
    <n v="279643"/>
    <d v="2023-02-25T00:00:00"/>
    <x v="0"/>
    <x v="1"/>
    <x v="2"/>
    <n v="34"/>
    <n v="64158"/>
    <n v="67504"/>
    <x v="0"/>
  </r>
  <r>
    <n v="915044"/>
    <d v="2023-02-24T00:00:00"/>
    <x v="5"/>
    <x v="1"/>
    <x v="2"/>
    <n v="60"/>
    <n v="111240"/>
    <n v="110263"/>
    <x v="1"/>
  </r>
  <r>
    <n v="480683"/>
    <d v="2023-08-26T00:00:00"/>
    <x v="4"/>
    <x v="1"/>
    <x v="1"/>
    <n v="33"/>
    <n v="55638"/>
    <n v="56264"/>
    <x v="0"/>
  </r>
  <r>
    <n v="527151"/>
    <d v="2023-02-13T00:00:00"/>
    <x v="0"/>
    <x v="1"/>
    <x v="1"/>
    <n v="58"/>
    <n v="95700"/>
    <n v="97897"/>
    <x v="0"/>
  </r>
  <r>
    <n v="914427"/>
    <d v="2023-06-28T00:00:00"/>
    <x v="7"/>
    <x v="1"/>
    <x v="1"/>
    <n v="30"/>
    <n v="44190"/>
    <n v="42974"/>
    <x v="4"/>
  </r>
  <r>
    <n v="457546"/>
    <d v="2023-11-28T00:00:00"/>
    <x v="7"/>
    <x v="1"/>
    <x v="0"/>
    <n v="40"/>
    <n v="74520"/>
    <n v="66932"/>
    <x v="4"/>
  </r>
  <r>
    <n v="674613"/>
    <d v="2023-08-25T00:00:00"/>
    <x v="3"/>
    <x v="2"/>
    <x v="0"/>
    <n v="40"/>
    <n v="56400"/>
    <n v="57014"/>
    <x v="2"/>
  </r>
  <r>
    <n v="376752"/>
    <d v="2023-04-12T00:00:00"/>
    <x v="4"/>
    <x v="2"/>
    <x v="1"/>
    <n v="33"/>
    <n v="55143"/>
    <n v="51964"/>
    <x v="0"/>
  </r>
  <r>
    <n v="476554"/>
    <d v="2023-10-02T00:00:00"/>
    <x v="5"/>
    <x v="2"/>
    <x v="1"/>
    <n v="29"/>
    <n v="36859"/>
    <n v="39572"/>
    <x v="1"/>
  </r>
  <r>
    <n v="664779"/>
    <d v="2023-11-09T00:00:00"/>
    <x v="6"/>
    <x v="2"/>
    <x v="2"/>
    <n v="57"/>
    <n v="81966"/>
    <n v="72257"/>
    <x v="3"/>
  </r>
  <r>
    <n v="311452"/>
    <d v="2023-02-13T00:00:00"/>
    <x v="4"/>
    <x v="2"/>
    <x v="0"/>
    <n v="34"/>
    <n v="38794"/>
    <n v="35446"/>
    <x v="0"/>
  </r>
  <r>
    <n v="448445"/>
    <d v="2023-11-02T00:00:00"/>
    <x v="3"/>
    <x v="2"/>
    <x v="1"/>
    <n v="27"/>
    <n v="31212"/>
    <n v="25932"/>
    <x v="2"/>
  </r>
  <r>
    <n v="384298"/>
    <d v="2023-05-28T00:00:00"/>
    <x v="2"/>
    <x v="3"/>
    <x v="1"/>
    <n v="58"/>
    <n v="61770"/>
    <n v="60466"/>
    <x v="2"/>
  </r>
  <r>
    <n v="168453"/>
    <d v="2023-10-15T00:00:00"/>
    <x v="5"/>
    <x v="3"/>
    <x v="1"/>
    <n v="53"/>
    <n v="66621"/>
    <n v="62557"/>
    <x v="1"/>
  </r>
  <r>
    <n v="985975"/>
    <d v="2023-01-16T00:00:00"/>
    <x v="0"/>
    <x v="3"/>
    <x v="2"/>
    <n v="54"/>
    <n v="95472"/>
    <n v="96101"/>
    <x v="0"/>
  </r>
  <r>
    <n v="177349"/>
    <d v="2023-10-09T00:00:00"/>
    <x v="0"/>
    <x v="3"/>
    <x v="0"/>
    <n v="38"/>
    <n v="54910"/>
    <n v="57319"/>
    <x v="0"/>
  </r>
  <r>
    <n v="717424"/>
    <d v="2023-10-07T00:00:00"/>
    <x v="6"/>
    <x v="3"/>
    <x v="0"/>
    <n v="52"/>
    <n v="92560"/>
    <n v="94633"/>
    <x v="3"/>
  </r>
  <r>
    <n v="627211"/>
    <d v="2023-02-14T00:00:00"/>
    <x v="6"/>
    <x v="3"/>
    <x v="0"/>
    <n v="60"/>
    <n v="91140"/>
    <n v="86163"/>
    <x v="3"/>
  </r>
  <r>
    <n v="253564"/>
    <d v="2023-03-26T00:00:00"/>
    <x v="4"/>
    <x v="3"/>
    <x v="0"/>
    <n v="30"/>
    <n v="46560"/>
    <n v="38803"/>
    <x v="0"/>
  </r>
  <r>
    <n v="949565"/>
    <d v="2023-06-15T00:00:00"/>
    <x v="4"/>
    <x v="3"/>
    <x v="2"/>
    <n v="51"/>
    <n v="51969"/>
    <n v="55137"/>
    <x v="0"/>
  </r>
  <r>
    <n v="756995"/>
    <d v="2023-05-22T00:00:00"/>
    <x v="7"/>
    <x v="3"/>
    <x v="0"/>
    <n v="23"/>
    <n v="28658"/>
    <n v="19273"/>
    <x v="4"/>
  </r>
  <r>
    <n v="808505"/>
    <d v="2023-11-20T00:00:00"/>
    <x v="0"/>
    <x v="3"/>
    <x v="0"/>
    <n v="51"/>
    <n v="93585"/>
    <n v="97452"/>
    <x v="0"/>
  </r>
  <r>
    <n v="870287"/>
    <d v="2023-12-22T00:00:00"/>
    <x v="1"/>
    <x v="4"/>
    <x v="2"/>
    <n v="50"/>
    <n v="98450"/>
    <n v="94443"/>
    <x v="1"/>
  </r>
  <r>
    <n v="646329"/>
    <d v="2023-07-23T00:00:00"/>
    <x v="2"/>
    <x v="4"/>
    <x v="1"/>
    <n v="33"/>
    <n v="64383"/>
    <n v="60548"/>
    <x v="2"/>
  </r>
  <r>
    <n v="236087"/>
    <d v="2023-10-17T00:00:00"/>
    <x v="7"/>
    <x v="4"/>
    <x v="2"/>
    <n v="39"/>
    <n v="54912"/>
    <n v="48908"/>
    <x v="4"/>
  </r>
  <r>
    <n v="396076"/>
    <d v="2023-08-22T00:00:00"/>
    <x v="5"/>
    <x v="4"/>
    <x v="0"/>
    <n v="53"/>
    <n v="77486"/>
    <n v="80504"/>
    <x v="1"/>
  </r>
  <r>
    <n v="669417"/>
    <d v="2023-12-02T00:00:00"/>
    <x v="0"/>
    <x v="4"/>
    <x v="0"/>
    <n v="41"/>
    <n v="41861"/>
    <n v="37223"/>
    <x v="0"/>
  </r>
  <r>
    <n v="624149"/>
    <d v="2023-12-25T00:00:00"/>
    <x v="7"/>
    <x v="4"/>
    <x v="0"/>
    <n v="20"/>
    <n v="21440"/>
    <n v="14843"/>
    <x v="4"/>
  </r>
  <r>
    <n v="804827"/>
    <d v="2023-09-23T00:00:00"/>
    <x v="7"/>
    <x v="4"/>
    <x v="0"/>
    <n v="24"/>
    <n v="46248"/>
    <n v="50734"/>
    <x v="4"/>
  </r>
  <r>
    <n v="428406"/>
    <d v="2023-07-16T00:00:00"/>
    <x v="7"/>
    <x v="4"/>
    <x v="1"/>
    <n v="37"/>
    <n v="62345"/>
    <n v="59392"/>
    <x v="4"/>
  </r>
  <r>
    <n v="429678"/>
    <d v="2023-02-05T00:00:00"/>
    <x v="1"/>
    <x v="4"/>
    <x v="2"/>
    <n v="56"/>
    <n v="89040"/>
    <n v="86296"/>
    <x v="1"/>
  </r>
  <r>
    <n v="491866"/>
    <d v="2023-12-18T00:00:00"/>
    <x v="2"/>
    <x v="5"/>
    <x v="2"/>
    <n v="32"/>
    <n v="35072"/>
    <n v="38484"/>
    <x v="2"/>
  </r>
  <r>
    <n v="911594"/>
    <d v="2023-06-11T00:00:00"/>
    <x v="4"/>
    <x v="5"/>
    <x v="0"/>
    <n v="47"/>
    <n v="66740"/>
    <n v="64089"/>
    <x v="0"/>
  </r>
  <r>
    <n v="148280"/>
    <d v="2023-12-04T00:00:00"/>
    <x v="0"/>
    <x v="5"/>
    <x v="0"/>
    <n v="23"/>
    <n v="32476"/>
    <n v="25545"/>
    <x v="0"/>
  </r>
  <r>
    <n v="141868"/>
    <d v="2023-07-17T00:00:00"/>
    <x v="7"/>
    <x v="5"/>
    <x v="0"/>
    <n v="32"/>
    <n v="38208"/>
    <n v="34422"/>
    <x v="4"/>
  </r>
  <r>
    <n v="961598"/>
    <d v="2023-10-19T00:00:00"/>
    <x v="2"/>
    <x v="5"/>
    <x v="0"/>
    <n v="31"/>
    <n v="39835"/>
    <n v="37256"/>
    <x v="2"/>
  </r>
  <r>
    <n v="404058"/>
    <d v="2023-05-15T00:00:00"/>
    <x v="5"/>
    <x v="5"/>
    <x v="1"/>
    <n v="55"/>
    <n v="60500"/>
    <n v="64672"/>
    <x v="1"/>
  </r>
  <r>
    <n v="526748"/>
    <d v="2023-02-12T00:00:00"/>
    <x v="3"/>
    <x v="5"/>
    <x v="0"/>
    <n v="25"/>
    <n v="48700"/>
    <n v="41354"/>
    <x v="2"/>
  </r>
  <r>
    <n v="440859"/>
    <d v="2023-10-02T00:00:00"/>
    <x v="2"/>
    <x v="5"/>
    <x v="0"/>
    <n v="51"/>
    <n v="76092"/>
    <n v="77590"/>
    <x v="2"/>
  </r>
  <r>
    <n v="703768"/>
    <d v="2023-01-30T00:00:00"/>
    <x v="1"/>
    <x v="5"/>
    <x v="2"/>
    <n v="44"/>
    <n v="44088"/>
    <n v="42692"/>
    <x v="1"/>
  </r>
  <r>
    <n v="715404"/>
    <d v="2023-12-29T00:00:00"/>
    <x v="6"/>
    <x v="6"/>
    <x v="1"/>
    <n v="47"/>
    <n v="80511"/>
    <n v="73543"/>
    <x v="3"/>
  </r>
  <r>
    <n v="321701"/>
    <d v="2023-03-06T00:00:00"/>
    <x v="5"/>
    <x v="6"/>
    <x v="0"/>
    <n v="29"/>
    <n v="34626"/>
    <n v="34765"/>
    <x v="1"/>
  </r>
  <r>
    <n v="638856"/>
    <d v="2023-02-02T00:00:00"/>
    <x v="3"/>
    <x v="6"/>
    <x v="2"/>
    <n v="40"/>
    <n v="42320"/>
    <n v="46499"/>
    <x v="2"/>
  </r>
  <r>
    <n v="443925"/>
    <d v="2023-10-18T00:00:00"/>
    <x v="1"/>
    <x v="6"/>
    <x v="0"/>
    <n v="23"/>
    <n v="45609"/>
    <n v="42289"/>
    <x v="1"/>
  </r>
  <r>
    <n v="122220"/>
    <d v="2023-01-07T00:00:00"/>
    <x v="0"/>
    <x v="6"/>
    <x v="2"/>
    <n v="58"/>
    <n v="62002"/>
    <n v="55940"/>
    <x v="0"/>
  </r>
  <r>
    <n v="701178"/>
    <d v="2023-05-08T00:00:00"/>
    <x v="0"/>
    <x v="6"/>
    <x v="0"/>
    <n v="56"/>
    <n v="70112"/>
    <n v="65627"/>
    <x v="0"/>
  </r>
  <r>
    <n v="626979"/>
    <d v="2023-04-02T00:00:00"/>
    <x v="0"/>
    <x v="6"/>
    <x v="1"/>
    <n v="46"/>
    <n v="76958"/>
    <n v="72396"/>
    <x v="0"/>
  </r>
  <r>
    <n v="879135"/>
    <d v="2023-10-11T00:00:00"/>
    <x v="4"/>
    <x v="6"/>
    <x v="2"/>
    <n v="36"/>
    <n v="43524"/>
    <n v="37552"/>
    <x v="0"/>
  </r>
  <r>
    <n v="853549"/>
    <d v="2023-09-10T00:00:00"/>
    <x v="7"/>
    <x v="6"/>
    <x v="1"/>
    <n v="36"/>
    <n v="50580"/>
    <n v="53436"/>
    <x v="4"/>
  </r>
  <r>
    <n v="622476"/>
    <d v="2023-11-22T00:00:00"/>
    <x v="6"/>
    <x v="6"/>
    <x v="0"/>
    <n v="49"/>
    <n v="64827"/>
    <n v="57509"/>
    <x v="3"/>
  </r>
  <r>
    <n v="558080"/>
    <d v="2023-05-02T00:00:00"/>
    <x v="5"/>
    <x v="6"/>
    <x v="1"/>
    <n v="59"/>
    <n v="92984"/>
    <n v="96346"/>
    <x v="1"/>
  </r>
  <r>
    <n v="705811"/>
    <d v="2023-12-25T00:00:00"/>
    <x v="7"/>
    <x v="6"/>
    <x v="0"/>
    <n v="52"/>
    <n v="66092"/>
    <n v="68922"/>
    <x v="4"/>
  </r>
  <r>
    <n v="614942"/>
    <d v="2023-10-18T00:00:00"/>
    <x v="7"/>
    <x v="7"/>
    <x v="1"/>
    <n v="43"/>
    <n v="55513"/>
    <n v="57929"/>
    <x v="4"/>
  </r>
  <r>
    <n v="411338"/>
    <d v="2023-05-20T00:00:00"/>
    <x v="6"/>
    <x v="7"/>
    <x v="0"/>
    <n v="59"/>
    <n v="107734"/>
    <n v="102020"/>
    <x v="3"/>
  </r>
  <r>
    <n v="773919"/>
    <d v="2023-07-28T00:00:00"/>
    <x v="6"/>
    <x v="7"/>
    <x v="2"/>
    <n v="26"/>
    <n v="50986"/>
    <n v="41599"/>
    <x v="3"/>
  </r>
  <r>
    <n v="972584"/>
    <d v="2023-12-18T00:00:00"/>
    <x v="0"/>
    <x v="7"/>
    <x v="2"/>
    <n v="26"/>
    <n v="45760"/>
    <n v="41696"/>
    <x v="0"/>
  </r>
  <r>
    <n v="375513"/>
    <d v="2023-07-02T00:00:00"/>
    <x v="6"/>
    <x v="7"/>
    <x v="0"/>
    <n v="58"/>
    <n v="70470"/>
    <n v="63713"/>
    <x v="3"/>
  </r>
  <r>
    <n v="171074"/>
    <d v="2023-10-09T00:00:00"/>
    <x v="6"/>
    <x v="7"/>
    <x v="0"/>
    <n v="52"/>
    <n v="78000"/>
    <n v="78886"/>
    <x v="3"/>
  </r>
  <r>
    <n v="658474"/>
    <d v="2023-12-18T00:00:00"/>
    <x v="2"/>
    <x v="7"/>
    <x v="0"/>
    <n v="37"/>
    <n v="38665"/>
    <n v="43607"/>
    <x v="2"/>
  </r>
  <r>
    <n v="136884"/>
    <d v="2023-03-07T00:00:00"/>
    <x v="6"/>
    <x v="7"/>
    <x v="1"/>
    <n v="30"/>
    <n v="52770"/>
    <n v="50531"/>
    <x v="3"/>
  </r>
  <r>
    <n v="347309"/>
    <d v="2023-07-22T00:00:00"/>
    <x v="2"/>
    <x v="7"/>
    <x v="1"/>
    <n v="55"/>
    <n v="55495"/>
    <n v="58663"/>
    <x v="2"/>
  </r>
  <r>
    <n v="861040"/>
    <d v="2023-01-18T00:00:00"/>
    <x v="1"/>
    <x v="7"/>
    <x v="1"/>
    <n v="54"/>
    <n v="55944"/>
    <n v="47270"/>
    <x v="1"/>
  </r>
  <r>
    <n v="757259"/>
    <d v="2023-05-24T00:00:00"/>
    <x v="1"/>
    <x v="7"/>
    <x v="2"/>
    <n v="47"/>
    <n v="53110"/>
    <n v="57425"/>
    <x v="1"/>
  </r>
  <r>
    <n v="616139"/>
    <d v="2023-09-03T00:00:00"/>
    <x v="3"/>
    <x v="8"/>
    <x v="1"/>
    <n v="42"/>
    <n v="51030"/>
    <n v="44856"/>
    <x v="2"/>
  </r>
  <r>
    <n v="310196"/>
    <d v="2023-11-02T00:00:00"/>
    <x v="0"/>
    <x v="8"/>
    <x v="1"/>
    <n v="42"/>
    <n v="75516"/>
    <n v="71343"/>
    <x v="0"/>
  </r>
  <r>
    <n v="855931"/>
    <d v="2023-12-03T00:00:00"/>
    <x v="1"/>
    <x v="8"/>
    <x v="2"/>
    <n v="35"/>
    <n v="65975"/>
    <n v="68313"/>
    <x v="1"/>
  </r>
  <r>
    <n v="659392"/>
    <d v="2023-04-01T00:00:00"/>
    <x v="3"/>
    <x v="8"/>
    <x v="1"/>
    <n v="31"/>
    <n v="54374"/>
    <n v="53932"/>
    <x v="2"/>
  </r>
  <r>
    <n v="509306"/>
    <d v="2023-10-16T00:00:00"/>
    <x v="7"/>
    <x v="8"/>
    <x v="0"/>
    <n v="37"/>
    <n v="43031"/>
    <n v="35131"/>
    <x v="4"/>
  </r>
  <r>
    <n v="818214"/>
    <d v="2023-11-05T00:00:00"/>
    <x v="2"/>
    <x v="9"/>
    <x v="0"/>
    <n v="22"/>
    <n v="41338"/>
    <n v="38627"/>
    <x v="2"/>
  </r>
  <r>
    <n v="667432"/>
    <d v="2023-06-15T00:00:00"/>
    <x v="5"/>
    <x v="9"/>
    <x v="0"/>
    <n v="42"/>
    <n v="55104"/>
    <n v="46661"/>
    <x v="1"/>
  </r>
  <r>
    <n v="572637"/>
    <d v="2023-10-28T00:00:00"/>
    <x v="3"/>
    <x v="9"/>
    <x v="0"/>
    <n v="32"/>
    <n v="45056"/>
    <n v="44678"/>
    <x v="2"/>
  </r>
  <r>
    <n v="889905"/>
    <d v="2023-12-22T00:00:00"/>
    <x v="6"/>
    <x v="9"/>
    <x v="1"/>
    <n v="42"/>
    <n v="69552"/>
    <n v="66206"/>
    <x v="3"/>
  </r>
  <r>
    <n v="556516"/>
    <d v="2023-03-07T00:00:00"/>
    <x v="4"/>
    <x v="9"/>
    <x v="0"/>
    <n v="21"/>
    <n v="23478"/>
    <n v="14109"/>
    <x v="0"/>
  </r>
  <r>
    <n v="296032"/>
    <d v="2023-11-10T00:00:00"/>
    <x v="6"/>
    <x v="9"/>
    <x v="2"/>
    <n v="22"/>
    <n v="24442"/>
    <n v="19668"/>
    <x v="3"/>
  </r>
  <r>
    <n v="222196"/>
    <d v="2023-11-22T00:00:00"/>
    <x v="4"/>
    <x v="10"/>
    <x v="2"/>
    <n v="47"/>
    <n v="76140"/>
    <n v="72761"/>
    <x v="0"/>
  </r>
  <r>
    <n v="297033"/>
    <d v="2023-05-08T00:00:00"/>
    <x v="7"/>
    <x v="10"/>
    <x v="0"/>
    <n v="36"/>
    <n v="37620"/>
    <n v="31008"/>
    <x v="4"/>
  </r>
  <r>
    <n v="719040"/>
    <d v="2023-07-13T00:00:00"/>
    <x v="7"/>
    <x v="10"/>
    <x v="2"/>
    <n v="43"/>
    <n v="61963"/>
    <n v="65817"/>
    <x v="4"/>
  </r>
  <r>
    <n v="819436"/>
    <d v="2023-01-18T00:00:00"/>
    <x v="4"/>
    <x v="10"/>
    <x v="1"/>
    <n v="27"/>
    <n v="46899"/>
    <n v="37153"/>
    <x v="0"/>
  </r>
  <r>
    <n v="972881"/>
    <d v="2023-06-23T00:00:00"/>
    <x v="6"/>
    <x v="10"/>
    <x v="2"/>
    <n v="46"/>
    <n v="61364"/>
    <n v="59772"/>
    <x v="3"/>
  </r>
  <r>
    <n v="783928"/>
    <d v="2023-02-21T00:00:00"/>
    <x v="1"/>
    <x v="11"/>
    <x v="1"/>
    <n v="32"/>
    <n v="45760"/>
    <n v="39866"/>
    <x v="1"/>
  </r>
  <r>
    <n v="951955"/>
    <d v="2023-02-19T00:00:00"/>
    <x v="1"/>
    <x v="11"/>
    <x v="1"/>
    <n v="59"/>
    <n v="93338"/>
    <n v="93408"/>
    <x v="1"/>
  </r>
  <r>
    <n v="500635"/>
    <d v="2023-12-05T00:00:00"/>
    <x v="3"/>
    <x v="11"/>
    <x v="1"/>
    <n v="39"/>
    <n v="50427"/>
    <n v="51984"/>
    <x v="2"/>
  </r>
  <r>
    <n v="120112"/>
    <d v="2023-06-07T00:00:00"/>
    <x v="4"/>
    <x v="11"/>
    <x v="0"/>
    <n v="49"/>
    <n v="71148"/>
    <n v="68904"/>
    <x v="0"/>
  </r>
  <r>
    <n v="746721"/>
    <d v="2023-07-09T00:00:00"/>
    <x v="5"/>
    <x v="11"/>
    <x v="1"/>
    <n v="30"/>
    <n v="50220"/>
    <n v="53831"/>
    <x v="1"/>
  </r>
  <r>
    <n v="149864"/>
    <d v="2023-12-23T00:00:00"/>
    <x v="4"/>
    <x v="11"/>
    <x v="1"/>
    <n v="25"/>
    <n v="45950"/>
    <n v="38644"/>
    <x v="0"/>
  </r>
  <r>
    <n v="913305"/>
    <d v="2023-09-25T00:00:00"/>
    <x v="6"/>
    <x v="11"/>
    <x v="0"/>
    <n v="34"/>
    <n v="62050"/>
    <n v="63788"/>
    <x v="3"/>
  </r>
  <r>
    <n v="349637"/>
    <d v="2023-01-18T00:00:00"/>
    <x v="3"/>
    <x v="11"/>
    <x v="2"/>
    <n v="35"/>
    <n v="52010"/>
    <n v="46995"/>
    <x v="2"/>
  </r>
  <r>
    <n v="112584"/>
    <d v="2023-03-27T00:00:00"/>
    <x v="2"/>
    <x v="11"/>
    <x v="1"/>
    <n v="60"/>
    <n v="95340"/>
    <n v="97155"/>
    <x v="2"/>
  </r>
  <r>
    <n v="525728"/>
    <d v="2023-12-05T00:00:00"/>
    <x v="2"/>
    <x v="11"/>
    <x v="1"/>
    <n v="51"/>
    <n v="71859"/>
    <n v="7286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770265"/>
    <x v="0"/>
    <x v="0"/>
    <x v="0"/>
    <s v="Electronics"/>
    <n v="21"/>
    <n v="36939"/>
    <n v="37433"/>
    <s v="South"/>
    <x v="0"/>
  </r>
  <r>
    <n v="562322"/>
    <x v="1"/>
    <x v="1"/>
    <x v="0"/>
    <s v="Electronics"/>
    <n v="26"/>
    <n v="43992"/>
    <n v="36857"/>
    <s v="East"/>
    <x v="1"/>
  </r>
  <r>
    <n v="897935"/>
    <x v="2"/>
    <x v="2"/>
    <x v="0"/>
    <s v="Electronics"/>
    <n v="22"/>
    <n v="22660"/>
    <n v="26125"/>
    <s v="North"/>
    <x v="0"/>
  </r>
  <r>
    <n v="531908"/>
    <x v="3"/>
    <x v="3"/>
    <x v="0"/>
    <s v="Stationery"/>
    <n v="55"/>
    <n v="66165"/>
    <n v="59434"/>
    <s v="North"/>
    <x v="1"/>
  </r>
  <r>
    <n v="208664"/>
    <x v="4"/>
    <x v="2"/>
    <x v="0"/>
    <s v="Electronics"/>
    <n v="34"/>
    <n v="49606"/>
    <n v="44952"/>
    <s v="North"/>
    <x v="0"/>
  </r>
  <r>
    <n v="690563"/>
    <x v="5"/>
    <x v="1"/>
    <x v="0"/>
    <s v="Electronics"/>
    <n v="47"/>
    <n v="63356"/>
    <n v="63804"/>
    <s v="East"/>
    <x v="1"/>
  </r>
  <r>
    <n v="484790"/>
    <x v="6"/>
    <x v="4"/>
    <x v="0"/>
    <s v="Furniture"/>
    <n v="26"/>
    <n v="28444"/>
    <n v="27220"/>
    <s v="South"/>
    <x v="1"/>
  </r>
  <r>
    <n v="424434"/>
    <x v="7"/>
    <x v="4"/>
    <x v="0"/>
    <s v="Stationery"/>
    <n v="58"/>
    <n v="73660"/>
    <n v="65437"/>
    <s v="South"/>
    <x v="1"/>
  </r>
  <r>
    <n v="190886"/>
    <x v="8"/>
    <x v="5"/>
    <x v="1"/>
    <s v="Stationery"/>
    <n v="54"/>
    <n v="60858"/>
    <n v="59657"/>
    <s v="East"/>
    <x v="1"/>
  </r>
  <r>
    <n v="655665"/>
    <x v="9"/>
    <x v="6"/>
    <x v="1"/>
    <s v="Stationery"/>
    <n v="60"/>
    <n v="97980"/>
    <n v="88473"/>
    <s v="Central"/>
    <x v="1"/>
  </r>
  <r>
    <n v="624861"/>
    <x v="10"/>
    <x v="7"/>
    <x v="1"/>
    <s v="Furniture"/>
    <n v="24"/>
    <n v="25104"/>
    <n v="19270"/>
    <s v="West"/>
    <x v="2"/>
  </r>
  <r>
    <n v="279643"/>
    <x v="11"/>
    <x v="0"/>
    <x v="1"/>
    <s v="Furniture"/>
    <n v="34"/>
    <n v="64158"/>
    <n v="67504"/>
    <s v="South"/>
    <x v="0"/>
  </r>
  <r>
    <n v="915044"/>
    <x v="12"/>
    <x v="5"/>
    <x v="1"/>
    <s v="Furniture"/>
    <n v="60"/>
    <n v="111240"/>
    <n v="110263"/>
    <s v="East"/>
    <x v="1"/>
  </r>
  <r>
    <n v="480683"/>
    <x v="13"/>
    <x v="4"/>
    <x v="1"/>
    <s v="Stationery"/>
    <n v="33"/>
    <n v="55638"/>
    <n v="56264"/>
    <s v="South"/>
    <x v="1"/>
  </r>
  <r>
    <n v="527151"/>
    <x v="14"/>
    <x v="0"/>
    <x v="1"/>
    <s v="Stationery"/>
    <n v="58"/>
    <n v="95700"/>
    <n v="97897"/>
    <s v="South"/>
    <x v="0"/>
  </r>
  <r>
    <n v="914427"/>
    <x v="15"/>
    <x v="7"/>
    <x v="1"/>
    <s v="Stationery"/>
    <n v="30"/>
    <n v="44190"/>
    <n v="42974"/>
    <s v="West"/>
    <x v="2"/>
  </r>
  <r>
    <n v="457546"/>
    <x v="16"/>
    <x v="7"/>
    <x v="1"/>
    <s v="Electronics"/>
    <n v="40"/>
    <n v="74520"/>
    <n v="66932"/>
    <s v="West"/>
    <x v="2"/>
  </r>
  <r>
    <n v="674613"/>
    <x v="17"/>
    <x v="3"/>
    <x v="2"/>
    <s v="Electronics"/>
    <n v="40"/>
    <n v="56400"/>
    <n v="57014"/>
    <s v="North"/>
    <x v="1"/>
  </r>
  <r>
    <n v="376752"/>
    <x v="18"/>
    <x v="4"/>
    <x v="2"/>
    <s v="Stationery"/>
    <n v="33"/>
    <n v="55143"/>
    <n v="51964"/>
    <s v="South"/>
    <x v="1"/>
  </r>
  <r>
    <n v="476554"/>
    <x v="19"/>
    <x v="5"/>
    <x v="2"/>
    <s v="Stationery"/>
    <n v="29"/>
    <n v="36859"/>
    <n v="39572"/>
    <s v="East"/>
    <x v="1"/>
  </r>
  <r>
    <n v="664779"/>
    <x v="20"/>
    <x v="6"/>
    <x v="2"/>
    <s v="Furniture"/>
    <n v="57"/>
    <n v="81966"/>
    <n v="72257"/>
    <s v="Central"/>
    <x v="1"/>
  </r>
  <r>
    <n v="311452"/>
    <x v="14"/>
    <x v="4"/>
    <x v="2"/>
    <s v="Electronics"/>
    <n v="34"/>
    <n v="38794"/>
    <n v="35446"/>
    <s v="South"/>
    <x v="1"/>
  </r>
  <r>
    <n v="448445"/>
    <x v="21"/>
    <x v="3"/>
    <x v="2"/>
    <s v="Stationery"/>
    <n v="27"/>
    <n v="31212"/>
    <n v="25932"/>
    <s v="North"/>
    <x v="1"/>
  </r>
  <r>
    <n v="384298"/>
    <x v="22"/>
    <x v="2"/>
    <x v="3"/>
    <s v="Stationery"/>
    <n v="58"/>
    <n v="61770"/>
    <n v="60466"/>
    <s v="North"/>
    <x v="0"/>
  </r>
  <r>
    <n v="168453"/>
    <x v="23"/>
    <x v="5"/>
    <x v="3"/>
    <s v="Stationery"/>
    <n v="53"/>
    <n v="66621"/>
    <n v="62557"/>
    <s v="East"/>
    <x v="1"/>
  </r>
  <r>
    <n v="985975"/>
    <x v="24"/>
    <x v="0"/>
    <x v="3"/>
    <s v="Furniture"/>
    <n v="54"/>
    <n v="95472"/>
    <n v="96101"/>
    <s v="South"/>
    <x v="0"/>
  </r>
  <r>
    <n v="177349"/>
    <x v="25"/>
    <x v="0"/>
    <x v="3"/>
    <s v="Electronics"/>
    <n v="38"/>
    <n v="54910"/>
    <n v="57319"/>
    <s v="South"/>
    <x v="0"/>
  </r>
  <r>
    <n v="717424"/>
    <x v="26"/>
    <x v="6"/>
    <x v="3"/>
    <s v="Electronics"/>
    <n v="52"/>
    <n v="92560"/>
    <n v="94633"/>
    <s v="Central"/>
    <x v="1"/>
  </r>
  <r>
    <n v="627211"/>
    <x v="27"/>
    <x v="6"/>
    <x v="3"/>
    <s v="Electronics"/>
    <n v="60"/>
    <n v="91140"/>
    <n v="86163"/>
    <s v="Central"/>
    <x v="1"/>
  </r>
  <r>
    <n v="253564"/>
    <x v="28"/>
    <x v="4"/>
    <x v="3"/>
    <s v="Electronics"/>
    <n v="30"/>
    <n v="46560"/>
    <n v="38803"/>
    <s v="South"/>
    <x v="1"/>
  </r>
  <r>
    <n v="949565"/>
    <x v="29"/>
    <x v="4"/>
    <x v="3"/>
    <s v="Furniture"/>
    <n v="51"/>
    <n v="51969"/>
    <n v="55137"/>
    <s v="South"/>
    <x v="1"/>
  </r>
  <r>
    <n v="756995"/>
    <x v="30"/>
    <x v="7"/>
    <x v="3"/>
    <s v="Electronics"/>
    <n v="23"/>
    <n v="28658"/>
    <n v="19273"/>
    <s v="West"/>
    <x v="2"/>
  </r>
  <r>
    <n v="808505"/>
    <x v="31"/>
    <x v="0"/>
    <x v="3"/>
    <s v="Electronics"/>
    <n v="51"/>
    <n v="93585"/>
    <n v="97452"/>
    <s v="South"/>
    <x v="0"/>
  </r>
  <r>
    <n v="870287"/>
    <x v="32"/>
    <x v="1"/>
    <x v="4"/>
    <s v="Furniture"/>
    <n v="50"/>
    <n v="98450"/>
    <n v="94443"/>
    <s v="East"/>
    <x v="1"/>
  </r>
  <r>
    <n v="646329"/>
    <x v="33"/>
    <x v="2"/>
    <x v="4"/>
    <s v="Stationery"/>
    <n v="33"/>
    <n v="64383"/>
    <n v="60548"/>
    <s v="North"/>
    <x v="0"/>
  </r>
  <r>
    <n v="236087"/>
    <x v="34"/>
    <x v="7"/>
    <x v="4"/>
    <s v="Furniture"/>
    <n v="39"/>
    <n v="54912"/>
    <n v="48908"/>
    <s v="West"/>
    <x v="2"/>
  </r>
  <r>
    <n v="396076"/>
    <x v="35"/>
    <x v="5"/>
    <x v="4"/>
    <s v="Electronics"/>
    <n v="53"/>
    <n v="77486"/>
    <n v="80504"/>
    <s v="East"/>
    <x v="1"/>
  </r>
  <r>
    <n v="669417"/>
    <x v="36"/>
    <x v="0"/>
    <x v="4"/>
    <s v="Electronics"/>
    <n v="41"/>
    <n v="41861"/>
    <n v="37223"/>
    <s v="South"/>
    <x v="0"/>
  </r>
  <r>
    <n v="624149"/>
    <x v="37"/>
    <x v="7"/>
    <x v="4"/>
    <s v="Electronics"/>
    <n v="20"/>
    <n v="21440"/>
    <n v="14843"/>
    <s v="West"/>
    <x v="2"/>
  </r>
  <r>
    <n v="804827"/>
    <x v="38"/>
    <x v="7"/>
    <x v="4"/>
    <s v="Electronics"/>
    <n v="24"/>
    <n v="46248"/>
    <n v="50734"/>
    <s v="West"/>
    <x v="2"/>
  </r>
  <r>
    <n v="428406"/>
    <x v="39"/>
    <x v="7"/>
    <x v="4"/>
    <s v="Stationery"/>
    <n v="37"/>
    <n v="62345"/>
    <n v="59392"/>
    <s v="West"/>
    <x v="2"/>
  </r>
  <r>
    <n v="429678"/>
    <x v="40"/>
    <x v="1"/>
    <x v="4"/>
    <s v="Furniture"/>
    <n v="56"/>
    <n v="89040"/>
    <n v="86296"/>
    <s v="East"/>
    <x v="1"/>
  </r>
  <r>
    <n v="491866"/>
    <x v="41"/>
    <x v="2"/>
    <x v="5"/>
    <s v="Furniture"/>
    <n v="32"/>
    <n v="35072"/>
    <n v="38484"/>
    <s v="North"/>
    <x v="0"/>
  </r>
  <r>
    <n v="911594"/>
    <x v="42"/>
    <x v="4"/>
    <x v="5"/>
    <s v="Electronics"/>
    <n v="47"/>
    <n v="66740"/>
    <n v="64089"/>
    <s v="South"/>
    <x v="1"/>
  </r>
  <r>
    <n v="148280"/>
    <x v="43"/>
    <x v="0"/>
    <x v="5"/>
    <s v="Electronics"/>
    <n v="23"/>
    <n v="32476"/>
    <n v="25545"/>
    <s v="South"/>
    <x v="0"/>
  </r>
  <r>
    <n v="141868"/>
    <x v="44"/>
    <x v="7"/>
    <x v="5"/>
    <s v="Electronics"/>
    <n v="32"/>
    <n v="38208"/>
    <n v="34422"/>
    <s v="West"/>
    <x v="2"/>
  </r>
  <r>
    <n v="961598"/>
    <x v="45"/>
    <x v="2"/>
    <x v="5"/>
    <s v="Electronics"/>
    <n v="31"/>
    <n v="39835"/>
    <n v="37256"/>
    <s v="North"/>
    <x v="0"/>
  </r>
  <r>
    <n v="404058"/>
    <x v="46"/>
    <x v="5"/>
    <x v="5"/>
    <s v="Stationery"/>
    <n v="55"/>
    <n v="60500"/>
    <n v="64672"/>
    <s v="East"/>
    <x v="1"/>
  </r>
  <r>
    <n v="526748"/>
    <x v="47"/>
    <x v="3"/>
    <x v="5"/>
    <s v="Electronics"/>
    <n v="25"/>
    <n v="48700"/>
    <n v="41354"/>
    <s v="North"/>
    <x v="1"/>
  </r>
  <r>
    <n v="440859"/>
    <x v="19"/>
    <x v="2"/>
    <x v="5"/>
    <s v="Electronics"/>
    <n v="51"/>
    <n v="76092"/>
    <n v="77590"/>
    <s v="North"/>
    <x v="0"/>
  </r>
  <r>
    <n v="703768"/>
    <x v="48"/>
    <x v="1"/>
    <x v="5"/>
    <s v="Furniture"/>
    <n v="44"/>
    <n v="44088"/>
    <n v="42692"/>
    <s v="East"/>
    <x v="1"/>
  </r>
  <r>
    <n v="715404"/>
    <x v="8"/>
    <x v="6"/>
    <x v="6"/>
    <s v="Stationery"/>
    <n v="47"/>
    <n v="80511"/>
    <n v="73543"/>
    <s v="Central"/>
    <x v="1"/>
  </r>
  <r>
    <n v="321701"/>
    <x v="49"/>
    <x v="5"/>
    <x v="6"/>
    <s v="Electronics"/>
    <n v="29"/>
    <n v="34626"/>
    <n v="34765"/>
    <s v="East"/>
    <x v="1"/>
  </r>
  <r>
    <n v="638856"/>
    <x v="3"/>
    <x v="3"/>
    <x v="6"/>
    <s v="Furniture"/>
    <n v="40"/>
    <n v="42320"/>
    <n v="46499"/>
    <s v="North"/>
    <x v="1"/>
  </r>
  <r>
    <n v="443925"/>
    <x v="50"/>
    <x v="1"/>
    <x v="6"/>
    <s v="Electronics"/>
    <n v="23"/>
    <n v="45609"/>
    <n v="42289"/>
    <s v="East"/>
    <x v="1"/>
  </r>
  <r>
    <n v="122220"/>
    <x v="51"/>
    <x v="0"/>
    <x v="6"/>
    <s v="Furniture"/>
    <n v="58"/>
    <n v="62002"/>
    <n v="55940"/>
    <s v="South"/>
    <x v="0"/>
  </r>
  <r>
    <n v="701178"/>
    <x v="52"/>
    <x v="0"/>
    <x v="6"/>
    <s v="Electronics"/>
    <n v="56"/>
    <n v="70112"/>
    <n v="65627"/>
    <s v="South"/>
    <x v="0"/>
  </r>
  <r>
    <n v="626979"/>
    <x v="53"/>
    <x v="0"/>
    <x v="6"/>
    <s v="Stationery"/>
    <n v="46"/>
    <n v="76958"/>
    <n v="72396"/>
    <s v="South"/>
    <x v="0"/>
  </r>
  <r>
    <n v="879135"/>
    <x v="1"/>
    <x v="4"/>
    <x v="6"/>
    <s v="Furniture"/>
    <n v="36"/>
    <n v="43524"/>
    <n v="37552"/>
    <s v="South"/>
    <x v="1"/>
  </r>
  <r>
    <n v="853549"/>
    <x v="54"/>
    <x v="7"/>
    <x v="6"/>
    <s v="Stationery"/>
    <n v="36"/>
    <n v="50580"/>
    <n v="53436"/>
    <s v="West"/>
    <x v="2"/>
  </r>
  <r>
    <n v="622476"/>
    <x v="55"/>
    <x v="6"/>
    <x v="6"/>
    <s v="Electronics"/>
    <n v="49"/>
    <n v="64827"/>
    <n v="57509"/>
    <s v="Central"/>
    <x v="1"/>
  </r>
  <r>
    <n v="558080"/>
    <x v="56"/>
    <x v="5"/>
    <x v="6"/>
    <s v="Stationery"/>
    <n v="59"/>
    <n v="92984"/>
    <n v="96346"/>
    <s v="East"/>
    <x v="1"/>
  </r>
  <r>
    <n v="705811"/>
    <x v="37"/>
    <x v="7"/>
    <x v="6"/>
    <s v="Electronics"/>
    <n v="52"/>
    <n v="66092"/>
    <n v="68922"/>
    <s v="West"/>
    <x v="2"/>
  </r>
  <r>
    <n v="614942"/>
    <x v="50"/>
    <x v="7"/>
    <x v="7"/>
    <s v="Stationery"/>
    <n v="43"/>
    <n v="55513"/>
    <n v="57929"/>
    <s v="West"/>
    <x v="2"/>
  </r>
  <r>
    <n v="411338"/>
    <x v="57"/>
    <x v="6"/>
    <x v="7"/>
    <s v="Electronics"/>
    <n v="59"/>
    <n v="107734"/>
    <n v="102020"/>
    <s v="Central"/>
    <x v="1"/>
  </r>
  <r>
    <n v="773919"/>
    <x v="58"/>
    <x v="6"/>
    <x v="7"/>
    <s v="Furniture"/>
    <n v="26"/>
    <n v="50986"/>
    <n v="41599"/>
    <s v="Central"/>
    <x v="1"/>
  </r>
  <r>
    <n v="972584"/>
    <x v="41"/>
    <x v="0"/>
    <x v="7"/>
    <s v="Furniture"/>
    <n v="26"/>
    <n v="45760"/>
    <n v="41696"/>
    <s v="South"/>
    <x v="0"/>
  </r>
  <r>
    <n v="375513"/>
    <x v="59"/>
    <x v="6"/>
    <x v="7"/>
    <s v="Electronics"/>
    <n v="58"/>
    <n v="70470"/>
    <n v="63713"/>
    <s v="Central"/>
    <x v="1"/>
  </r>
  <r>
    <n v="171074"/>
    <x v="25"/>
    <x v="6"/>
    <x v="7"/>
    <s v="Electronics"/>
    <n v="52"/>
    <n v="78000"/>
    <n v="78886"/>
    <s v="Central"/>
    <x v="1"/>
  </r>
  <r>
    <n v="658474"/>
    <x v="41"/>
    <x v="2"/>
    <x v="7"/>
    <s v="Electronics"/>
    <n v="37"/>
    <n v="38665"/>
    <n v="43607"/>
    <s v="North"/>
    <x v="0"/>
  </r>
  <r>
    <n v="136884"/>
    <x v="60"/>
    <x v="6"/>
    <x v="7"/>
    <s v="Stationery"/>
    <n v="30"/>
    <n v="52770"/>
    <n v="50531"/>
    <s v="Central"/>
    <x v="1"/>
  </r>
  <r>
    <n v="347309"/>
    <x v="61"/>
    <x v="2"/>
    <x v="7"/>
    <s v="Stationery"/>
    <n v="55"/>
    <n v="55495"/>
    <n v="58663"/>
    <s v="North"/>
    <x v="0"/>
  </r>
  <r>
    <n v="861040"/>
    <x v="62"/>
    <x v="1"/>
    <x v="7"/>
    <s v="Stationery"/>
    <n v="54"/>
    <n v="55944"/>
    <n v="47270"/>
    <s v="East"/>
    <x v="1"/>
  </r>
  <r>
    <n v="757259"/>
    <x v="63"/>
    <x v="1"/>
    <x v="7"/>
    <s v="Furniture"/>
    <n v="47"/>
    <n v="53110"/>
    <n v="57425"/>
    <s v="East"/>
    <x v="1"/>
  </r>
  <r>
    <n v="616139"/>
    <x v="64"/>
    <x v="3"/>
    <x v="8"/>
    <s v="Stationery"/>
    <n v="42"/>
    <n v="51030"/>
    <n v="44856"/>
    <s v="North"/>
    <x v="1"/>
  </r>
  <r>
    <n v="310196"/>
    <x v="21"/>
    <x v="0"/>
    <x v="8"/>
    <s v="Stationery"/>
    <n v="42"/>
    <n v="75516"/>
    <n v="71343"/>
    <s v="South"/>
    <x v="0"/>
  </r>
  <r>
    <n v="855931"/>
    <x v="65"/>
    <x v="1"/>
    <x v="8"/>
    <s v="Furniture"/>
    <n v="35"/>
    <n v="65975"/>
    <n v="68313"/>
    <s v="East"/>
    <x v="1"/>
  </r>
  <r>
    <n v="659392"/>
    <x v="6"/>
    <x v="3"/>
    <x v="8"/>
    <s v="Stationery"/>
    <n v="31"/>
    <n v="54374"/>
    <n v="53932"/>
    <s v="North"/>
    <x v="1"/>
  </r>
  <r>
    <n v="509306"/>
    <x v="66"/>
    <x v="7"/>
    <x v="8"/>
    <s v="Electronics"/>
    <n v="37"/>
    <n v="43031"/>
    <n v="35131"/>
    <s v="West"/>
    <x v="2"/>
  </r>
  <r>
    <n v="818214"/>
    <x v="67"/>
    <x v="2"/>
    <x v="9"/>
    <s v="Electronics"/>
    <n v="22"/>
    <n v="41338"/>
    <n v="38627"/>
    <s v="North"/>
    <x v="0"/>
  </r>
  <r>
    <n v="667432"/>
    <x v="29"/>
    <x v="5"/>
    <x v="9"/>
    <s v="Electronics"/>
    <n v="42"/>
    <n v="55104"/>
    <n v="46661"/>
    <s v="East"/>
    <x v="1"/>
  </r>
  <r>
    <n v="572637"/>
    <x v="68"/>
    <x v="3"/>
    <x v="9"/>
    <s v="Electronics"/>
    <n v="32"/>
    <n v="45056"/>
    <n v="44678"/>
    <s v="North"/>
    <x v="1"/>
  </r>
  <r>
    <n v="889905"/>
    <x v="32"/>
    <x v="6"/>
    <x v="9"/>
    <s v="Stationery"/>
    <n v="42"/>
    <n v="69552"/>
    <n v="66206"/>
    <s v="Central"/>
    <x v="1"/>
  </r>
  <r>
    <n v="556516"/>
    <x v="60"/>
    <x v="4"/>
    <x v="9"/>
    <s v="Electronics"/>
    <n v="21"/>
    <n v="23478"/>
    <n v="14109"/>
    <s v="South"/>
    <x v="1"/>
  </r>
  <r>
    <n v="296032"/>
    <x v="69"/>
    <x v="6"/>
    <x v="9"/>
    <s v="Furniture"/>
    <n v="22"/>
    <n v="24442"/>
    <n v="19668"/>
    <s v="Central"/>
    <x v="1"/>
  </r>
  <r>
    <n v="222196"/>
    <x v="55"/>
    <x v="4"/>
    <x v="10"/>
    <s v="Furniture"/>
    <n v="47"/>
    <n v="76140"/>
    <n v="72761"/>
    <s v="South"/>
    <x v="1"/>
  </r>
  <r>
    <n v="297033"/>
    <x v="52"/>
    <x v="7"/>
    <x v="10"/>
    <s v="Electronics"/>
    <n v="36"/>
    <n v="37620"/>
    <n v="31008"/>
    <s v="West"/>
    <x v="2"/>
  </r>
  <r>
    <n v="719040"/>
    <x v="70"/>
    <x v="7"/>
    <x v="10"/>
    <s v="Furniture"/>
    <n v="43"/>
    <n v="61963"/>
    <n v="65817"/>
    <s v="West"/>
    <x v="2"/>
  </r>
  <r>
    <n v="819436"/>
    <x v="62"/>
    <x v="4"/>
    <x v="10"/>
    <s v="Stationery"/>
    <n v="27"/>
    <n v="46899"/>
    <n v="37153"/>
    <s v="South"/>
    <x v="1"/>
  </r>
  <r>
    <n v="972881"/>
    <x v="71"/>
    <x v="6"/>
    <x v="10"/>
    <s v="Furniture"/>
    <n v="46"/>
    <n v="61364"/>
    <n v="59772"/>
    <s v="Central"/>
    <x v="1"/>
  </r>
  <r>
    <n v="783928"/>
    <x v="72"/>
    <x v="1"/>
    <x v="11"/>
    <s v="Stationery"/>
    <n v="32"/>
    <n v="45760"/>
    <n v="39866"/>
    <s v="East"/>
    <x v="1"/>
  </r>
  <r>
    <n v="951955"/>
    <x v="73"/>
    <x v="1"/>
    <x v="11"/>
    <s v="Stationery"/>
    <n v="59"/>
    <n v="93338"/>
    <n v="93408"/>
    <s v="East"/>
    <x v="1"/>
  </r>
  <r>
    <n v="500635"/>
    <x v="74"/>
    <x v="3"/>
    <x v="11"/>
    <s v="Stationery"/>
    <n v="39"/>
    <n v="50427"/>
    <n v="51984"/>
    <s v="North"/>
    <x v="1"/>
  </r>
  <r>
    <n v="120112"/>
    <x v="75"/>
    <x v="4"/>
    <x v="11"/>
    <s v="Electronics"/>
    <n v="49"/>
    <n v="71148"/>
    <n v="68904"/>
    <s v="South"/>
    <x v="1"/>
  </r>
  <r>
    <n v="746721"/>
    <x v="76"/>
    <x v="5"/>
    <x v="11"/>
    <s v="Stationery"/>
    <n v="30"/>
    <n v="50220"/>
    <n v="53831"/>
    <s v="East"/>
    <x v="1"/>
  </r>
  <r>
    <n v="149864"/>
    <x v="77"/>
    <x v="4"/>
    <x v="11"/>
    <s v="Stationery"/>
    <n v="25"/>
    <n v="45950"/>
    <n v="38644"/>
    <s v="South"/>
    <x v="1"/>
  </r>
  <r>
    <n v="913305"/>
    <x v="78"/>
    <x v="6"/>
    <x v="11"/>
    <s v="Electronics"/>
    <n v="34"/>
    <n v="62050"/>
    <n v="63788"/>
    <s v="Central"/>
    <x v="1"/>
  </r>
  <r>
    <n v="349637"/>
    <x v="62"/>
    <x v="3"/>
    <x v="11"/>
    <s v="Furniture"/>
    <n v="35"/>
    <n v="52010"/>
    <n v="46995"/>
    <s v="North"/>
    <x v="1"/>
  </r>
  <r>
    <n v="112584"/>
    <x v="79"/>
    <x v="2"/>
    <x v="11"/>
    <s v="Stationery"/>
    <n v="60"/>
    <n v="95340"/>
    <n v="97155"/>
    <s v="North"/>
    <x v="0"/>
  </r>
  <r>
    <n v="525728"/>
    <x v="74"/>
    <x v="2"/>
    <x v="11"/>
    <s v="Stationery"/>
    <n v="51"/>
    <n v="71859"/>
    <n v="72862"/>
    <s v="North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770265"/>
    <d v="2023-02-22T00:00:00"/>
    <x v="0"/>
    <s v="JAN"/>
    <s v="Electronics"/>
    <n v="21"/>
    <n v="36939"/>
    <n v="37433"/>
    <x v="0"/>
    <s v="Marketing"/>
    <m/>
  </r>
  <r>
    <n v="562322"/>
    <d v="2023-10-11T00:00:00"/>
    <x v="1"/>
    <s v="JAN"/>
    <s v="Electronics"/>
    <n v="26"/>
    <n v="43992"/>
    <n v="36857"/>
    <x v="1"/>
    <s v="Sales"/>
    <m/>
  </r>
  <r>
    <n v="897935"/>
    <d v="2023-05-05T00:00:00"/>
    <x v="2"/>
    <s v="JAN"/>
    <s v="Electronics"/>
    <n v="22"/>
    <n v="22660"/>
    <n v="26125"/>
    <x v="2"/>
    <s v="Marketing"/>
    <m/>
  </r>
  <r>
    <n v="531908"/>
    <d v="2023-02-02T00:00:00"/>
    <x v="3"/>
    <s v="JAN"/>
    <s v="Stationery"/>
    <n v="55"/>
    <n v="66165"/>
    <n v="59434"/>
    <x v="2"/>
    <s v="Sales"/>
    <m/>
  </r>
  <r>
    <n v="208664"/>
    <d v="2023-11-01T00:00:00"/>
    <x v="2"/>
    <s v="JAN"/>
    <s v="Electronics"/>
    <n v="34"/>
    <n v="49606"/>
    <n v="44952"/>
    <x v="2"/>
    <s v="Marketing"/>
    <m/>
  </r>
  <r>
    <n v="690563"/>
    <d v="2023-08-14T00:00:00"/>
    <x v="1"/>
    <s v="JAN"/>
    <s v="Electronics"/>
    <n v="47"/>
    <n v="63356"/>
    <n v="63804"/>
    <x v="1"/>
    <s v="Sales"/>
    <m/>
  </r>
  <r>
    <n v="484790"/>
    <d v="2023-04-01T00:00:00"/>
    <x v="4"/>
    <s v="JAN"/>
    <s v="Furniture"/>
    <n v="26"/>
    <n v="28444"/>
    <n v="27220"/>
    <x v="0"/>
    <s v="Sales"/>
    <m/>
  </r>
  <r>
    <n v="424434"/>
    <d v="2023-07-21T00:00:00"/>
    <x v="4"/>
    <s v="JAN"/>
    <s v="Stationery"/>
    <n v="58"/>
    <n v="73660"/>
    <n v="65437"/>
    <x v="0"/>
    <s v="Sales"/>
    <m/>
  </r>
  <r>
    <n v="190886"/>
    <d v="2023-12-29T00:00:00"/>
    <x v="5"/>
    <s v="FEB"/>
    <s v="Stationery"/>
    <n v="54"/>
    <n v="60858"/>
    <n v="59657"/>
    <x v="1"/>
    <s v="Sales"/>
    <m/>
  </r>
  <r>
    <n v="655665"/>
    <d v="2023-05-04T00:00:00"/>
    <x v="6"/>
    <s v="FEB"/>
    <s v="Stationery"/>
    <n v="60"/>
    <n v="97980"/>
    <n v="88473"/>
    <x v="3"/>
    <s v="Sales"/>
    <m/>
  </r>
  <r>
    <n v="624861"/>
    <d v="2023-07-25T00:00:00"/>
    <x v="7"/>
    <s v="FEB"/>
    <s v="Furniture"/>
    <n v="24"/>
    <n v="25104"/>
    <n v="19270"/>
    <x v="4"/>
    <s v="Operations"/>
    <m/>
  </r>
  <r>
    <n v="279643"/>
    <d v="2023-02-25T00:00:00"/>
    <x v="0"/>
    <s v="FEB"/>
    <s v="Furniture"/>
    <n v="34"/>
    <n v="64158"/>
    <n v="67504"/>
    <x v="0"/>
    <s v="Marketing"/>
    <m/>
  </r>
  <r>
    <n v="915044"/>
    <d v="2023-02-24T00:00:00"/>
    <x v="5"/>
    <s v="FEB"/>
    <s v="Furniture"/>
    <n v="60"/>
    <n v="111240"/>
    <n v="110263"/>
    <x v="1"/>
    <s v="Sales"/>
    <m/>
  </r>
  <r>
    <n v="480683"/>
    <d v="2023-08-26T00:00:00"/>
    <x v="4"/>
    <s v="FEB"/>
    <s v="Stationery"/>
    <n v="33"/>
    <n v="55638"/>
    <n v="56264"/>
    <x v="0"/>
    <s v="Sales"/>
    <m/>
  </r>
  <r>
    <n v="527151"/>
    <d v="2023-02-13T00:00:00"/>
    <x v="0"/>
    <s v="FEB"/>
    <s v="Stationery"/>
    <n v="58"/>
    <n v="95700"/>
    <n v="97897"/>
    <x v="0"/>
    <s v="Marketing"/>
    <m/>
  </r>
  <r>
    <n v="914427"/>
    <d v="2023-06-28T00:00:00"/>
    <x v="7"/>
    <s v="FEB"/>
    <s v="Stationery"/>
    <n v="30"/>
    <n v="44190"/>
    <n v="42974"/>
    <x v="4"/>
    <s v="Operations"/>
    <m/>
  </r>
  <r>
    <n v="457546"/>
    <d v="2023-11-28T00:00:00"/>
    <x v="7"/>
    <s v="FEB"/>
    <s v="Electronics"/>
    <n v="40"/>
    <n v="74520"/>
    <n v="66932"/>
    <x v="4"/>
    <s v="Operations"/>
    <m/>
  </r>
  <r>
    <n v="674613"/>
    <d v="2023-08-25T00:00:00"/>
    <x v="3"/>
    <s v="MAR"/>
    <s v="Electronics"/>
    <n v="40"/>
    <n v="56400"/>
    <n v="57014"/>
    <x v="2"/>
    <s v="Sales"/>
    <m/>
  </r>
  <r>
    <n v="376752"/>
    <d v="2023-04-12T00:00:00"/>
    <x v="4"/>
    <s v="MAR"/>
    <s v="Stationery"/>
    <n v="33"/>
    <n v="55143"/>
    <n v="51964"/>
    <x v="0"/>
    <s v="Sales"/>
    <m/>
  </r>
  <r>
    <n v="476554"/>
    <d v="2023-10-02T00:00:00"/>
    <x v="5"/>
    <s v="MAR"/>
    <s v="Stationery"/>
    <n v="29"/>
    <n v="36859"/>
    <n v="39572"/>
    <x v="1"/>
    <s v="Sales"/>
    <m/>
  </r>
  <r>
    <n v="664779"/>
    <d v="2023-11-09T00:00:00"/>
    <x v="6"/>
    <s v="MAR"/>
    <s v="Furniture"/>
    <n v="57"/>
    <n v="81966"/>
    <n v="72257"/>
    <x v="3"/>
    <s v="Sales"/>
    <m/>
  </r>
  <r>
    <n v="311452"/>
    <d v="2023-02-13T00:00:00"/>
    <x v="4"/>
    <s v="MAR"/>
    <s v="Electronics"/>
    <n v="34"/>
    <n v="38794"/>
    <n v="35446"/>
    <x v="0"/>
    <s v="Sales"/>
    <m/>
  </r>
  <r>
    <n v="448445"/>
    <d v="2023-11-02T00:00:00"/>
    <x v="3"/>
    <s v="MAR"/>
    <s v="Stationery"/>
    <n v="27"/>
    <n v="31212"/>
    <n v="25932"/>
    <x v="2"/>
    <s v="Sales"/>
    <m/>
  </r>
  <r>
    <n v="384298"/>
    <d v="2023-05-28T00:00:00"/>
    <x v="2"/>
    <s v="APR"/>
    <s v="Stationery"/>
    <n v="58"/>
    <n v="61770"/>
    <n v="60466"/>
    <x v="2"/>
    <s v="Marketing"/>
    <m/>
  </r>
  <r>
    <n v="168453"/>
    <d v="2023-10-15T00:00:00"/>
    <x v="5"/>
    <s v="APR"/>
    <s v="Stationery"/>
    <n v="53"/>
    <n v="66621"/>
    <n v="62557"/>
    <x v="1"/>
    <s v="Sales"/>
    <m/>
  </r>
  <r>
    <n v="985975"/>
    <d v="2023-01-16T00:00:00"/>
    <x v="0"/>
    <s v="APR"/>
    <s v="Furniture"/>
    <n v="54"/>
    <n v="95472"/>
    <n v="96101"/>
    <x v="0"/>
    <s v="Marketing"/>
    <m/>
  </r>
  <r>
    <n v="177349"/>
    <d v="2023-10-09T00:00:00"/>
    <x v="0"/>
    <s v="APR"/>
    <s v="Electronics"/>
    <n v="38"/>
    <n v="54910"/>
    <n v="57319"/>
    <x v="0"/>
    <s v="Marketing"/>
    <m/>
  </r>
  <r>
    <n v="717424"/>
    <d v="2023-10-07T00:00:00"/>
    <x v="6"/>
    <s v="APR"/>
    <s v="Electronics"/>
    <n v="52"/>
    <n v="92560"/>
    <n v="94633"/>
    <x v="3"/>
    <s v="Sales"/>
    <m/>
  </r>
  <r>
    <n v="627211"/>
    <d v="2023-02-14T00:00:00"/>
    <x v="6"/>
    <s v="APR"/>
    <s v="Electronics"/>
    <n v="60"/>
    <n v="91140"/>
    <n v="86163"/>
    <x v="3"/>
    <s v="Sales"/>
    <m/>
  </r>
  <r>
    <n v="253564"/>
    <d v="2023-03-26T00:00:00"/>
    <x v="4"/>
    <s v="APR"/>
    <s v="Electronics"/>
    <n v="30"/>
    <n v="46560"/>
    <n v="38803"/>
    <x v="0"/>
    <s v="Sales"/>
    <m/>
  </r>
  <r>
    <n v="949565"/>
    <d v="2023-06-15T00:00:00"/>
    <x v="4"/>
    <s v="APR"/>
    <s v="Furniture"/>
    <n v="51"/>
    <n v="51969"/>
    <n v="55137"/>
    <x v="0"/>
    <s v="Sales"/>
    <m/>
  </r>
  <r>
    <n v="756995"/>
    <d v="2023-05-22T00:00:00"/>
    <x v="7"/>
    <s v="APR"/>
    <s v="Electronics"/>
    <n v="23"/>
    <n v="28658"/>
    <n v="19273"/>
    <x v="4"/>
    <s v="Operations"/>
    <m/>
  </r>
  <r>
    <n v="808505"/>
    <d v="2023-11-20T00:00:00"/>
    <x v="0"/>
    <s v="APR"/>
    <s v="Electronics"/>
    <n v="51"/>
    <n v="93585"/>
    <n v="97452"/>
    <x v="0"/>
    <s v="Marketing"/>
    <m/>
  </r>
  <r>
    <n v="870287"/>
    <d v="2023-12-22T00:00:00"/>
    <x v="1"/>
    <s v="MAY"/>
    <s v="Furniture"/>
    <n v="50"/>
    <n v="98450"/>
    <n v="94443"/>
    <x v="1"/>
    <s v="Sales"/>
    <m/>
  </r>
  <r>
    <n v="646329"/>
    <d v="2023-07-23T00:00:00"/>
    <x v="2"/>
    <s v="MAY"/>
    <s v="Stationery"/>
    <n v="33"/>
    <n v="64383"/>
    <n v="60548"/>
    <x v="2"/>
    <s v="Marketing"/>
    <m/>
  </r>
  <r>
    <n v="236087"/>
    <d v="2023-10-17T00:00:00"/>
    <x v="7"/>
    <s v="MAY"/>
    <s v="Furniture"/>
    <n v="39"/>
    <n v="54912"/>
    <n v="48908"/>
    <x v="4"/>
    <s v="Operations"/>
    <m/>
  </r>
  <r>
    <n v="396076"/>
    <d v="2023-08-22T00:00:00"/>
    <x v="5"/>
    <s v="MAY"/>
    <s v="Electronics"/>
    <n v="53"/>
    <n v="77486"/>
    <n v="80504"/>
    <x v="1"/>
    <s v="Sales"/>
    <m/>
  </r>
  <r>
    <n v="669417"/>
    <d v="2023-12-02T00:00:00"/>
    <x v="0"/>
    <s v="MAY"/>
    <s v="Electronics"/>
    <n v="41"/>
    <n v="41861"/>
    <n v="37223"/>
    <x v="0"/>
    <s v="Marketing"/>
    <m/>
  </r>
  <r>
    <n v="624149"/>
    <d v="2023-12-25T00:00:00"/>
    <x v="7"/>
    <s v="MAY"/>
    <s v="Electronics"/>
    <n v="20"/>
    <n v="21440"/>
    <n v="14843"/>
    <x v="4"/>
    <s v="Operations"/>
    <m/>
  </r>
  <r>
    <n v="804827"/>
    <d v="2023-09-23T00:00:00"/>
    <x v="7"/>
    <s v="MAY"/>
    <s v="Electronics"/>
    <n v="24"/>
    <n v="46248"/>
    <n v="50734"/>
    <x v="4"/>
    <s v="Operations"/>
    <m/>
  </r>
  <r>
    <n v="428406"/>
    <d v="2023-07-16T00:00:00"/>
    <x v="7"/>
    <s v="MAY"/>
    <s v="Stationery"/>
    <n v="37"/>
    <n v="62345"/>
    <n v="59392"/>
    <x v="4"/>
    <s v="Operations"/>
    <m/>
  </r>
  <r>
    <n v="429678"/>
    <d v="2023-02-05T00:00:00"/>
    <x v="1"/>
    <s v="MAY"/>
    <s v="Furniture"/>
    <n v="56"/>
    <n v="89040"/>
    <n v="86296"/>
    <x v="1"/>
    <s v="Sales"/>
    <m/>
  </r>
  <r>
    <n v="491866"/>
    <d v="2023-12-18T00:00:00"/>
    <x v="2"/>
    <s v="JUN"/>
    <s v="Furniture"/>
    <n v="32"/>
    <n v="35072"/>
    <n v="38484"/>
    <x v="2"/>
    <s v="Marketing"/>
    <m/>
  </r>
  <r>
    <n v="911594"/>
    <d v="2023-06-11T00:00:00"/>
    <x v="4"/>
    <s v="JUN"/>
    <s v="Electronics"/>
    <n v="47"/>
    <n v="66740"/>
    <n v="64089"/>
    <x v="0"/>
    <s v="Sales"/>
    <m/>
  </r>
  <r>
    <n v="148280"/>
    <d v="2023-12-04T00:00:00"/>
    <x v="0"/>
    <s v="JUN"/>
    <s v="Electronics"/>
    <n v="23"/>
    <n v="32476"/>
    <n v="25545"/>
    <x v="0"/>
    <s v="Marketing"/>
    <m/>
  </r>
  <r>
    <n v="141868"/>
    <d v="2023-07-17T00:00:00"/>
    <x v="7"/>
    <s v="JUN"/>
    <s v="Electronics"/>
    <n v="32"/>
    <n v="38208"/>
    <n v="34422"/>
    <x v="4"/>
    <s v="Operations"/>
    <m/>
  </r>
  <r>
    <n v="961598"/>
    <d v="2023-10-19T00:00:00"/>
    <x v="2"/>
    <s v="JUN"/>
    <s v="Electronics"/>
    <n v="31"/>
    <n v="39835"/>
    <n v="37256"/>
    <x v="2"/>
    <s v="Marketing"/>
    <m/>
  </r>
  <r>
    <n v="404058"/>
    <d v="2023-05-15T00:00:00"/>
    <x v="5"/>
    <s v="JUN"/>
    <s v="Stationery"/>
    <n v="55"/>
    <n v="60500"/>
    <n v="64672"/>
    <x v="1"/>
    <s v="Sales"/>
    <m/>
  </r>
  <r>
    <n v="526748"/>
    <d v="2023-02-12T00:00:00"/>
    <x v="3"/>
    <s v="JUN"/>
    <s v="Electronics"/>
    <n v="25"/>
    <n v="48700"/>
    <n v="41354"/>
    <x v="2"/>
    <s v="Sales"/>
    <m/>
  </r>
  <r>
    <n v="440859"/>
    <d v="2023-10-02T00:00:00"/>
    <x v="2"/>
    <s v="JUN"/>
    <s v="Electronics"/>
    <n v="51"/>
    <n v="76092"/>
    <n v="77590"/>
    <x v="2"/>
    <s v="Marketing"/>
    <m/>
  </r>
  <r>
    <n v="703768"/>
    <d v="2023-01-30T00:00:00"/>
    <x v="1"/>
    <s v="JUN"/>
    <s v="Furniture"/>
    <n v="44"/>
    <n v="44088"/>
    <n v="42692"/>
    <x v="1"/>
    <s v="Sales"/>
    <m/>
  </r>
  <r>
    <n v="715404"/>
    <d v="2023-12-29T00:00:00"/>
    <x v="6"/>
    <s v="JUL"/>
    <s v="Stationery"/>
    <n v="47"/>
    <n v="80511"/>
    <n v="73543"/>
    <x v="3"/>
    <s v="Sales"/>
    <m/>
  </r>
  <r>
    <n v="321701"/>
    <d v="2023-03-06T00:00:00"/>
    <x v="5"/>
    <s v="JUL"/>
    <s v="Electronics"/>
    <n v="29"/>
    <n v="34626"/>
    <n v="34765"/>
    <x v="1"/>
    <s v="Sales"/>
    <m/>
  </r>
  <r>
    <n v="638856"/>
    <d v="2023-02-02T00:00:00"/>
    <x v="3"/>
    <s v="JUL"/>
    <s v="Furniture"/>
    <n v="40"/>
    <n v="42320"/>
    <n v="46499"/>
    <x v="2"/>
    <s v="Sales"/>
    <m/>
  </r>
  <r>
    <n v="443925"/>
    <d v="2023-10-18T00:00:00"/>
    <x v="1"/>
    <s v="JUL"/>
    <s v="Electronics"/>
    <n v="23"/>
    <n v="45609"/>
    <n v="42289"/>
    <x v="1"/>
    <s v="Sales"/>
    <m/>
  </r>
  <r>
    <n v="122220"/>
    <d v="2023-01-07T00:00:00"/>
    <x v="0"/>
    <s v="JUL"/>
    <s v="Furniture"/>
    <n v="58"/>
    <n v="62002"/>
    <n v="55940"/>
    <x v="0"/>
    <s v="Marketing"/>
    <m/>
  </r>
  <r>
    <n v="701178"/>
    <d v="2023-05-08T00:00:00"/>
    <x v="0"/>
    <s v="JUL"/>
    <s v="Electronics"/>
    <n v="56"/>
    <n v="70112"/>
    <n v="65627"/>
    <x v="0"/>
    <s v="Marketing"/>
    <m/>
  </r>
  <r>
    <n v="626979"/>
    <d v="2023-04-02T00:00:00"/>
    <x v="0"/>
    <s v="JUL"/>
    <s v="Stationery"/>
    <n v="46"/>
    <n v="76958"/>
    <n v="72396"/>
    <x v="0"/>
    <s v="Marketing"/>
    <m/>
  </r>
  <r>
    <n v="879135"/>
    <d v="2023-10-11T00:00:00"/>
    <x v="4"/>
    <s v="JUL"/>
    <s v="Furniture"/>
    <n v="36"/>
    <n v="43524"/>
    <n v="37552"/>
    <x v="0"/>
    <s v="Sales"/>
    <m/>
  </r>
  <r>
    <n v="853549"/>
    <d v="2023-09-10T00:00:00"/>
    <x v="7"/>
    <s v="JUL"/>
    <s v="Stationery"/>
    <n v="36"/>
    <n v="50580"/>
    <n v="53436"/>
    <x v="4"/>
    <s v="Operations"/>
    <m/>
  </r>
  <r>
    <n v="622476"/>
    <d v="2023-11-22T00:00:00"/>
    <x v="6"/>
    <s v="JUL"/>
    <s v="Electronics"/>
    <n v="49"/>
    <n v="64827"/>
    <n v="57509"/>
    <x v="3"/>
    <s v="Sales"/>
    <m/>
  </r>
  <r>
    <n v="558080"/>
    <d v="2023-05-02T00:00:00"/>
    <x v="5"/>
    <s v="JUL"/>
    <s v="Stationery"/>
    <n v="59"/>
    <n v="92984"/>
    <n v="96346"/>
    <x v="1"/>
    <s v="Sales"/>
    <m/>
  </r>
  <r>
    <n v="705811"/>
    <d v="2023-12-25T00:00:00"/>
    <x v="7"/>
    <s v="JUL"/>
    <s v="Electronics"/>
    <n v="52"/>
    <n v="66092"/>
    <n v="68922"/>
    <x v="4"/>
    <s v="Operations"/>
    <m/>
  </r>
  <r>
    <n v="614942"/>
    <d v="2023-10-18T00:00:00"/>
    <x v="7"/>
    <s v="AUG"/>
    <s v="Stationery"/>
    <n v="43"/>
    <n v="55513"/>
    <n v="57929"/>
    <x v="4"/>
    <s v="Operations"/>
    <m/>
  </r>
  <r>
    <n v="411338"/>
    <d v="2023-05-20T00:00:00"/>
    <x v="6"/>
    <s v="AUG"/>
    <s v="Electronics"/>
    <n v="59"/>
    <n v="107734"/>
    <n v="102020"/>
    <x v="3"/>
    <s v="Sales"/>
    <m/>
  </r>
  <r>
    <n v="773919"/>
    <d v="2023-07-28T00:00:00"/>
    <x v="6"/>
    <s v="AUG"/>
    <s v="Furniture"/>
    <n v="26"/>
    <n v="50986"/>
    <n v="41599"/>
    <x v="3"/>
    <s v="Sales"/>
    <m/>
  </r>
  <r>
    <n v="972584"/>
    <d v="2023-12-18T00:00:00"/>
    <x v="0"/>
    <s v="AUG"/>
    <s v="Furniture"/>
    <n v="26"/>
    <n v="45760"/>
    <n v="41696"/>
    <x v="0"/>
    <s v="Marketing"/>
    <m/>
  </r>
  <r>
    <n v="375513"/>
    <d v="2023-07-02T00:00:00"/>
    <x v="6"/>
    <s v="AUG"/>
    <s v="Electronics"/>
    <n v="58"/>
    <n v="70470"/>
    <n v="63713"/>
    <x v="3"/>
    <s v="Sales"/>
    <m/>
  </r>
  <r>
    <n v="171074"/>
    <d v="2023-10-09T00:00:00"/>
    <x v="6"/>
    <s v="AUG"/>
    <s v="Electronics"/>
    <n v="52"/>
    <n v="78000"/>
    <n v="78886"/>
    <x v="3"/>
    <s v="Sales"/>
    <m/>
  </r>
  <r>
    <n v="658474"/>
    <d v="2023-12-18T00:00:00"/>
    <x v="2"/>
    <s v="AUG"/>
    <s v="Electronics"/>
    <n v="37"/>
    <n v="38665"/>
    <n v="43607"/>
    <x v="2"/>
    <s v="Marketing"/>
    <m/>
  </r>
  <r>
    <n v="136884"/>
    <d v="2023-03-07T00:00:00"/>
    <x v="6"/>
    <s v="AUG"/>
    <s v="Stationery"/>
    <n v="30"/>
    <n v="52770"/>
    <n v="50531"/>
    <x v="3"/>
    <s v="Sales"/>
    <m/>
  </r>
  <r>
    <n v="347309"/>
    <d v="2023-07-22T00:00:00"/>
    <x v="2"/>
    <s v="AUG"/>
    <s v="Stationery"/>
    <n v="55"/>
    <n v="55495"/>
    <n v="58663"/>
    <x v="2"/>
    <s v="Marketing"/>
    <m/>
  </r>
  <r>
    <n v="861040"/>
    <d v="2023-01-18T00:00:00"/>
    <x v="1"/>
    <s v="AUG"/>
    <s v="Stationery"/>
    <n v="54"/>
    <n v="55944"/>
    <n v="47270"/>
    <x v="1"/>
    <s v="Sales"/>
    <m/>
  </r>
  <r>
    <n v="757259"/>
    <d v="2023-05-24T00:00:00"/>
    <x v="1"/>
    <s v="AUG"/>
    <s v="Furniture"/>
    <n v="47"/>
    <n v="53110"/>
    <n v="57425"/>
    <x v="1"/>
    <s v="Sales"/>
    <m/>
  </r>
  <r>
    <n v="616139"/>
    <d v="2023-09-03T00:00:00"/>
    <x v="3"/>
    <s v="SEP"/>
    <s v="Stationery"/>
    <n v="42"/>
    <n v="51030"/>
    <n v="44856"/>
    <x v="2"/>
    <s v="Sales"/>
    <m/>
  </r>
  <r>
    <n v="310196"/>
    <d v="2023-11-02T00:00:00"/>
    <x v="0"/>
    <s v="SEP"/>
    <s v="Stationery"/>
    <n v="42"/>
    <n v="75516"/>
    <n v="71343"/>
    <x v="0"/>
    <s v="Marketing"/>
    <m/>
  </r>
  <r>
    <n v="855931"/>
    <d v="2023-12-03T00:00:00"/>
    <x v="1"/>
    <s v="SEP"/>
    <s v="Furniture"/>
    <n v="35"/>
    <n v="65975"/>
    <n v="68313"/>
    <x v="1"/>
    <s v="Sales"/>
    <m/>
  </r>
  <r>
    <n v="659392"/>
    <d v="2023-04-01T00:00:00"/>
    <x v="3"/>
    <s v="SEP"/>
    <s v="Stationery"/>
    <n v="31"/>
    <n v="54374"/>
    <n v="53932"/>
    <x v="2"/>
    <s v="Sales"/>
    <m/>
  </r>
  <r>
    <n v="509306"/>
    <d v="2023-10-16T00:00:00"/>
    <x v="7"/>
    <s v="SEP"/>
    <s v="Electronics"/>
    <n v="37"/>
    <n v="43031"/>
    <n v="35131"/>
    <x v="4"/>
    <s v="Operations"/>
    <m/>
  </r>
  <r>
    <n v="818214"/>
    <d v="2023-11-05T00:00:00"/>
    <x v="2"/>
    <s v="OCT"/>
    <s v="Electronics"/>
    <n v="22"/>
    <n v="41338"/>
    <n v="38627"/>
    <x v="2"/>
    <s v="Marketing"/>
    <m/>
  </r>
  <r>
    <n v="667432"/>
    <d v="2023-06-15T00:00:00"/>
    <x v="5"/>
    <s v="OCT"/>
    <s v="Electronics"/>
    <n v="42"/>
    <n v="55104"/>
    <n v="46661"/>
    <x v="1"/>
    <s v="Sales"/>
    <m/>
  </r>
  <r>
    <n v="572637"/>
    <d v="2023-10-28T00:00:00"/>
    <x v="3"/>
    <s v="OCT"/>
    <s v="Electronics"/>
    <n v="32"/>
    <n v="45056"/>
    <n v="44678"/>
    <x v="2"/>
    <s v="Sales"/>
    <m/>
  </r>
  <r>
    <n v="889905"/>
    <d v="2023-12-22T00:00:00"/>
    <x v="6"/>
    <s v="OCT"/>
    <s v="Stationery"/>
    <n v="42"/>
    <n v="69552"/>
    <n v="66206"/>
    <x v="3"/>
    <s v="Sales"/>
    <m/>
  </r>
  <r>
    <n v="556516"/>
    <d v="2023-03-07T00:00:00"/>
    <x v="4"/>
    <s v="OCT"/>
    <s v="Electronics"/>
    <n v="21"/>
    <n v="23478"/>
    <n v="14109"/>
    <x v="0"/>
    <s v="Sales"/>
    <m/>
  </r>
  <r>
    <n v="296032"/>
    <d v="2023-11-10T00:00:00"/>
    <x v="6"/>
    <s v="OCT"/>
    <s v="Furniture"/>
    <n v="22"/>
    <n v="24442"/>
    <n v="19668"/>
    <x v="3"/>
    <s v="Sales"/>
    <m/>
  </r>
  <r>
    <n v="222196"/>
    <d v="2023-11-22T00:00:00"/>
    <x v="4"/>
    <s v="NOV"/>
    <s v="Furniture"/>
    <n v="47"/>
    <n v="76140"/>
    <n v="72761"/>
    <x v="0"/>
    <s v="Sales"/>
    <m/>
  </r>
  <r>
    <n v="297033"/>
    <d v="2023-05-08T00:00:00"/>
    <x v="7"/>
    <s v="NOV"/>
    <s v="Electronics"/>
    <n v="36"/>
    <n v="37620"/>
    <n v="31008"/>
    <x v="4"/>
    <s v="Operations"/>
    <m/>
  </r>
  <r>
    <n v="719040"/>
    <d v="2023-07-13T00:00:00"/>
    <x v="7"/>
    <s v="NOV"/>
    <s v="Furniture"/>
    <n v="43"/>
    <n v="61963"/>
    <n v="65817"/>
    <x v="4"/>
    <s v="Operations"/>
    <m/>
  </r>
  <r>
    <n v="819436"/>
    <d v="2023-01-18T00:00:00"/>
    <x v="4"/>
    <s v="NOV"/>
    <s v="Stationery"/>
    <n v="27"/>
    <n v="46899"/>
    <n v="37153"/>
    <x v="0"/>
    <s v="Sales"/>
    <m/>
  </r>
  <r>
    <n v="972881"/>
    <d v="2023-06-23T00:00:00"/>
    <x v="6"/>
    <s v="NOV"/>
    <s v="Furniture"/>
    <n v="46"/>
    <n v="61364"/>
    <n v="59772"/>
    <x v="3"/>
    <s v="Sales"/>
    <m/>
  </r>
  <r>
    <n v="783928"/>
    <d v="2023-02-21T00:00:00"/>
    <x v="1"/>
    <s v="DEC"/>
    <s v="Stationery"/>
    <n v="32"/>
    <n v="45760"/>
    <n v="39866"/>
    <x v="1"/>
    <s v="Sales"/>
    <m/>
  </r>
  <r>
    <n v="951955"/>
    <d v="2023-02-19T00:00:00"/>
    <x v="1"/>
    <s v="DEC"/>
    <s v="Stationery"/>
    <n v="59"/>
    <n v="93338"/>
    <n v="93408"/>
    <x v="1"/>
    <s v="Sales"/>
    <m/>
  </r>
  <r>
    <n v="500635"/>
    <d v="2023-12-05T00:00:00"/>
    <x v="3"/>
    <s v="DEC"/>
    <s v="Stationery"/>
    <n v="39"/>
    <n v="50427"/>
    <n v="51984"/>
    <x v="2"/>
    <s v="Sales"/>
    <m/>
  </r>
  <r>
    <n v="120112"/>
    <d v="2023-06-07T00:00:00"/>
    <x v="4"/>
    <s v="DEC"/>
    <s v="Electronics"/>
    <n v="49"/>
    <n v="71148"/>
    <n v="68904"/>
    <x v="0"/>
    <s v="Sales"/>
    <m/>
  </r>
  <r>
    <n v="746721"/>
    <d v="2023-07-09T00:00:00"/>
    <x v="5"/>
    <s v="DEC"/>
    <s v="Stationery"/>
    <n v="30"/>
    <n v="50220"/>
    <n v="53831"/>
    <x v="1"/>
    <s v="Sales"/>
    <m/>
  </r>
  <r>
    <n v="149864"/>
    <d v="2023-12-23T00:00:00"/>
    <x v="4"/>
    <s v="DEC"/>
    <s v="Stationery"/>
    <n v="25"/>
    <n v="45950"/>
    <n v="38644"/>
    <x v="0"/>
    <s v="Sales"/>
    <m/>
  </r>
  <r>
    <n v="913305"/>
    <d v="2023-09-25T00:00:00"/>
    <x v="6"/>
    <s v="DEC"/>
    <s v="Electronics"/>
    <n v="34"/>
    <n v="62050"/>
    <n v="63788"/>
    <x v="3"/>
    <s v="Sales"/>
    <m/>
  </r>
  <r>
    <n v="349637"/>
    <d v="2023-01-18T00:00:00"/>
    <x v="3"/>
    <s v="DEC"/>
    <s v="Furniture"/>
    <n v="35"/>
    <n v="52010"/>
    <n v="46995"/>
    <x v="2"/>
    <s v="Sales"/>
    <m/>
  </r>
  <r>
    <n v="112584"/>
    <d v="2023-03-27T00:00:00"/>
    <x v="2"/>
    <s v="DEC"/>
    <s v="Stationery"/>
    <n v="60"/>
    <n v="95340"/>
    <n v="97155"/>
    <x v="2"/>
    <s v="Marketing"/>
    <m/>
  </r>
  <r>
    <n v="525728"/>
    <d v="2023-12-05T00:00:00"/>
    <x v="2"/>
    <s v="DEC"/>
    <s v="Stationery"/>
    <n v="51"/>
    <n v="71859"/>
    <n v="72862"/>
    <x v="2"/>
    <s v="Marketing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770265"/>
    <d v="2023-02-22T00:00:00"/>
    <x v="0"/>
    <s v="JAN"/>
    <s v="Electronics"/>
    <n v="21"/>
    <x v="0"/>
    <n v="37433"/>
    <s v="South"/>
    <s v="Marketing"/>
    <m/>
    <s v="Raj Mehta"/>
  </r>
  <r>
    <n v="562322"/>
    <d v="2023-10-11T00:00:00"/>
    <x v="1"/>
    <s v="JAN"/>
    <s v="Electronics"/>
    <n v="26"/>
    <x v="1"/>
    <n v="36857"/>
    <s v="East"/>
    <s v="Sales"/>
    <m/>
    <s v="Ronn Robinson"/>
  </r>
  <r>
    <n v="897935"/>
    <d v="2023-05-05T00:00:00"/>
    <x v="2"/>
    <s v="JAN"/>
    <s v="Electronics"/>
    <n v="22"/>
    <x v="2"/>
    <n v="26125"/>
    <s v="North"/>
    <s v="Marketing"/>
    <m/>
    <s v="Martina Brands"/>
  </r>
  <r>
    <n v="531908"/>
    <d v="2023-02-02T00:00:00"/>
    <x v="3"/>
    <s v="JAN"/>
    <s v="Stationery"/>
    <n v="55"/>
    <x v="3"/>
    <n v="59434"/>
    <s v="North"/>
    <s v="Sales"/>
    <m/>
    <s v="Lynda Smith"/>
  </r>
  <r>
    <n v="208664"/>
    <d v="2023-11-01T00:00:00"/>
    <x v="2"/>
    <s v="JAN"/>
    <s v="Electronics"/>
    <n v="34"/>
    <x v="4"/>
    <n v="44952"/>
    <s v="North"/>
    <s v="Marketing"/>
    <m/>
    <s v="Martina Brands"/>
  </r>
  <r>
    <n v="690563"/>
    <d v="2023-08-14T00:00:00"/>
    <x v="1"/>
    <s v="JAN"/>
    <s v="Electronics"/>
    <n v="47"/>
    <x v="5"/>
    <n v="63804"/>
    <s v="East"/>
    <s v="Sales"/>
    <m/>
    <s v="Ronn Robinson"/>
  </r>
  <r>
    <n v="484790"/>
    <d v="2023-04-01T00:00:00"/>
    <x v="4"/>
    <s v="JAN"/>
    <s v="Furniture"/>
    <n v="26"/>
    <x v="6"/>
    <n v="27220"/>
    <s v="South"/>
    <s v="Sales"/>
    <m/>
    <s v="Fatima Zhang"/>
  </r>
  <r>
    <n v="424434"/>
    <d v="2023-07-21T00:00:00"/>
    <x v="4"/>
    <s v="JAN"/>
    <s v="Stationery"/>
    <n v="58"/>
    <x v="7"/>
    <n v="65437"/>
    <s v="South"/>
    <s v="Sales"/>
    <m/>
    <s v="Fatima Zhang"/>
  </r>
  <r>
    <n v="190886"/>
    <d v="2023-12-29T00:00:00"/>
    <x v="5"/>
    <s v="FEB"/>
    <s v="Stationery"/>
    <n v="54"/>
    <x v="8"/>
    <n v="59657"/>
    <s v="East"/>
    <s v="Sales"/>
    <m/>
    <s v="John Taylor"/>
  </r>
  <r>
    <n v="655665"/>
    <d v="2023-05-04T00:00:00"/>
    <x v="6"/>
    <s v="FEB"/>
    <s v="Stationery"/>
    <n v="60"/>
    <x v="9"/>
    <n v="88473"/>
    <s v="Central"/>
    <s v="Sales"/>
    <m/>
    <s v="Joe Lyn"/>
  </r>
  <r>
    <n v="624861"/>
    <d v="2023-07-25T00:00:00"/>
    <x v="7"/>
    <s v="FEB"/>
    <s v="Furniture"/>
    <n v="24"/>
    <x v="10"/>
    <n v="19270"/>
    <s v="West"/>
    <s v="Operations"/>
    <m/>
    <s v="Christi Davis"/>
  </r>
  <r>
    <n v="279643"/>
    <d v="2023-02-25T00:00:00"/>
    <x v="0"/>
    <s v="FEB"/>
    <s v="Furniture"/>
    <n v="34"/>
    <x v="11"/>
    <n v="67504"/>
    <s v="South"/>
    <s v="Marketing"/>
    <m/>
    <s v="Raj Mehta"/>
  </r>
  <r>
    <n v="915044"/>
    <d v="2023-02-24T00:00:00"/>
    <x v="5"/>
    <s v="FEB"/>
    <s v="Furniture"/>
    <n v="60"/>
    <x v="12"/>
    <n v="110263"/>
    <s v="East"/>
    <s v="Sales"/>
    <m/>
    <s v="John Taylor"/>
  </r>
  <r>
    <n v="480683"/>
    <d v="2023-08-26T00:00:00"/>
    <x v="4"/>
    <s v="FEB"/>
    <s v="Stationery"/>
    <n v="33"/>
    <x v="13"/>
    <n v="56264"/>
    <s v="South"/>
    <s v="Sales"/>
    <m/>
    <s v="Fatima Zhang"/>
  </r>
  <r>
    <n v="527151"/>
    <d v="2023-02-13T00:00:00"/>
    <x v="0"/>
    <s v="FEB"/>
    <s v="Stationery"/>
    <n v="58"/>
    <x v="14"/>
    <n v="97897"/>
    <s v="South"/>
    <s v="Marketing"/>
    <m/>
    <s v="Raj Mehta"/>
  </r>
  <r>
    <n v="914427"/>
    <d v="2023-06-28T00:00:00"/>
    <x v="7"/>
    <s v="FEB"/>
    <s v="Stationery"/>
    <n v="30"/>
    <x v="15"/>
    <n v="42974"/>
    <s v="West"/>
    <s v="Operations"/>
    <m/>
    <s v="Christi Davis"/>
  </r>
  <r>
    <n v="457546"/>
    <d v="2023-11-28T00:00:00"/>
    <x v="7"/>
    <s v="FEB"/>
    <s v="Electronics"/>
    <n v="40"/>
    <x v="16"/>
    <n v="66932"/>
    <s v="West"/>
    <s v="Operations"/>
    <m/>
    <s v="Christi Davis"/>
  </r>
  <r>
    <n v="674613"/>
    <d v="2023-08-25T00:00:00"/>
    <x v="3"/>
    <s v="MAR"/>
    <s v="Electronics"/>
    <n v="40"/>
    <x v="17"/>
    <n v="57014"/>
    <s v="North"/>
    <s v="Sales"/>
    <m/>
    <s v="Lynda Smith"/>
  </r>
  <r>
    <n v="376752"/>
    <d v="2023-04-12T00:00:00"/>
    <x v="4"/>
    <s v="MAR"/>
    <s v="Stationery"/>
    <n v="33"/>
    <x v="18"/>
    <n v="51964"/>
    <s v="South"/>
    <s v="Sales"/>
    <m/>
    <s v="Fatima Zhang"/>
  </r>
  <r>
    <n v="476554"/>
    <d v="2023-10-02T00:00:00"/>
    <x v="5"/>
    <s v="MAR"/>
    <s v="Stationery"/>
    <n v="29"/>
    <x v="19"/>
    <n v="39572"/>
    <s v="East"/>
    <s v="Sales"/>
    <m/>
    <s v="John Taylor"/>
  </r>
  <r>
    <n v="664779"/>
    <d v="2023-11-09T00:00:00"/>
    <x v="6"/>
    <s v="MAR"/>
    <s v="Furniture"/>
    <n v="57"/>
    <x v="20"/>
    <n v="72257"/>
    <s v="Central"/>
    <s v="Sales"/>
    <m/>
    <s v="Joe Lyn"/>
  </r>
  <r>
    <n v="311452"/>
    <d v="2023-02-13T00:00:00"/>
    <x v="4"/>
    <s v="MAR"/>
    <s v="Electronics"/>
    <n v="34"/>
    <x v="21"/>
    <n v="35446"/>
    <s v="South"/>
    <s v="Sales"/>
    <m/>
    <s v="Fatima Zhang"/>
  </r>
  <r>
    <n v="448445"/>
    <d v="2023-11-02T00:00:00"/>
    <x v="3"/>
    <s v="MAR"/>
    <s v="Stationery"/>
    <n v="27"/>
    <x v="22"/>
    <n v="25932"/>
    <s v="North"/>
    <s v="Sales"/>
    <m/>
    <s v="Lynda Smith"/>
  </r>
  <r>
    <n v="384298"/>
    <d v="2023-05-28T00:00:00"/>
    <x v="2"/>
    <s v="APR"/>
    <s v="Stationery"/>
    <n v="58"/>
    <x v="23"/>
    <n v="60466"/>
    <s v="North"/>
    <s v="Marketing"/>
    <m/>
    <s v="Martina Brands"/>
  </r>
  <r>
    <n v="168453"/>
    <d v="2023-10-15T00:00:00"/>
    <x v="5"/>
    <s v="APR"/>
    <s v="Stationery"/>
    <n v="53"/>
    <x v="24"/>
    <n v="62557"/>
    <s v="East"/>
    <s v="Sales"/>
    <m/>
    <s v="John Taylor"/>
  </r>
  <r>
    <n v="985975"/>
    <d v="2023-01-16T00:00:00"/>
    <x v="0"/>
    <s v="APR"/>
    <s v="Furniture"/>
    <n v="54"/>
    <x v="25"/>
    <n v="96101"/>
    <s v="South"/>
    <s v="Marketing"/>
    <m/>
    <s v="Raj Mehta"/>
  </r>
  <r>
    <n v="177349"/>
    <d v="2023-10-09T00:00:00"/>
    <x v="0"/>
    <s v="APR"/>
    <s v="Electronics"/>
    <n v="38"/>
    <x v="26"/>
    <n v="57319"/>
    <s v="South"/>
    <s v="Marketing"/>
    <m/>
    <s v="Raj Mehta"/>
  </r>
  <r>
    <n v="717424"/>
    <d v="2023-10-07T00:00:00"/>
    <x v="6"/>
    <s v="APR"/>
    <s v="Electronics"/>
    <n v="52"/>
    <x v="27"/>
    <n v="94633"/>
    <s v="Central"/>
    <s v="Sales"/>
    <m/>
    <s v="Joe Lyn"/>
  </r>
  <r>
    <n v="627211"/>
    <d v="2023-02-14T00:00:00"/>
    <x v="6"/>
    <s v="APR"/>
    <s v="Electronics"/>
    <n v="60"/>
    <x v="28"/>
    <n v="86163"/>
    <s v="Central"/>
    <s v="Sales"/>
    <m/>
    <s v="Joe Lyn"/>
  </r>
  <r>
    <n v="253564"/>
    <d v="2023-03-26T00:00:00"/>
    <x v="4"/>
    <s v="APR"/>
    <s v="Electronics"/>
    <n v="30"/>
    <x v="29"/>
    <n v="38803"/>
    <s v="South"/>
    <s v="Sales"/>
    <m/>
    <s v="Fatima Zhang"/>
  </r>
  <r>
    <n v="949565"/>
    <d v="2023-06-15T00:00:00"/>
    <x v="4"/>
    <s v="APR"/>
    <s v="Furniture"/>
    <n v="51"/>
    <x v="30"/>
    <n v="55137"/>
    <s v="South"/>
    <s v="Sales"/>
    <m/>
    <s v="Fatima Zhang"/>
  </r>
  <r>
    <n v="756995"/>
    <d v="2023-05-22T00:00:00"/>
    <x v="7"/>
    <s v="APR"/>
    <s v="Electronics"/>
    <n v="23"/>
    <x v="31"/>
    <n v="19273"/>
    <s v="West"/>
    <s v="Operations"/>
    <m/>
    <s v="Christi Davis"/>
  </r>
  <r>
    <n v="808505"/>
    <d v="2023-11-20T00:00:00"/>
    <x v="0"/>
    <s v="APR"/>
    <s v="Electronics"/>
    <n v="51"/>
    <x v="32"/>
    <n v="97452"/>
    <s v="South"/>
    <s v="Marketing"/>
    <m/>
    <s v="Raj Mehta"/>
  </r>
  <r>
    <n v="870287"/>
    <d v="2023-12-22T00:00:00"/>
    <x v="1"/>
    <s v="MAY"/>
    <s v="Furniture"/>
    <n v="50"/>
    <x v="33"/>
    <n v="94443"/>
    <s v="East"/>
    <s v="Sales"/>
    <m/>
    <s v="Ronn Robinson"/>
  </r>
  <r>
    <n v="646329"/>
    <d v="2023-07-23T00:00:00"/>
    <x v="2"/>
    <s v="MAY"/>
    <s v="Stationery"/>
    <n v="33"/>
    <x v="34"/>
    <n v="60548"/>
    <s v="North"/>
    <s v="Marketing"/>
    <m/>
    <s v="Martina Brands"/>
  </r>
  <r>
    <n v="236087"/>
    <d v="2023-10-17T00:00:00"/>
    <x v="7"/>
    <s v="MAY"/>
    <s v="Furniture"/>
    <n v="39"/>
    <x v="35"/>
    <n v="48908"/>
    <s v="West"/>
    <s v="Operations"/>
    <m/>
    <s v="Christi Davis"/>
  </r>
  <r>
    <n v="396076"/>
    <d v="2023-08-22T00:00:00"/>
    <x v="5"/>
    <s v="MAY"/>
    <s v="Electronics"/>
    <n v="53"/>
    <x v="36"/>
    <n v="80504"/>
    <s v="East"/>
    <s v="Sales"/>
    <m/>
    <s v="John Taylor"/>
  </r>
  <r>
    <n v="669417"/>
    <d v="2023-12-02T00:00:00"/>
    <x v="0"/>
    <s v="MAY"/>
    <s v="Electronics"/>
    <n v="41"/>
    <x v="37"/>
    <n v="37223"/>
    <s v="South"/>
    <s v="Marketing"/>
    <m/>
    <s v="Raj Mehta"/>
  </r>
  <r>
    <n v="624149"/>
    <d v="2023-12-25T00:00:00"/>
    <x v="7"/>
    <s v="MAY"/>
    <s v="Electronics"/>
    <n v="20"/>
    <x v="38"/>
    <n v="14843"/>
    <s v="West"/>
    <s v="Operations"/>
    <m/>
    <s v="Christi Davis"/>
  </r>
  <r>
    <n v="804827"/>
    <d v="2023-09-23T00:00:00"/>
    <x v="7"/>
    <s v="MAY"/>
    <s v="Electronics"/>
    <n v="24"/>
    <x v="39"/>
    <n v="50734"/>
    <s v="West"/>
    <s v="Operations"/>
    <m/>
    <s v="Christi Davis"/>
  </r>
  <r>
    <n v="428406"/>
    <d v="2023-07-16T00:00:00"/>
    <x v="7"/>
    <s v="MAY"/>
    <s v="Stationery"/>
    <n v="37"/>
    <x v="40"/>
    <n v="59392"/>
    <s v="West"/>
    <s v="Operations"/>
    <m/>
    <s v="Christi Davis"/>
  </r>
  <r>
    <n v="429678"/>
    <d v="2023-02-05T00:00:00"/>
    <x v="1"/>
    <s v="MAY"/>
    <s v="Furniture"/>
    <n v="56"/>
    <x v="41"/>
    <n v="86296"/>
    <s v="East"/>
    <s v="Sales"/>
    <m/>
    <s v="Ronn Robinson"/>
  </r>
  <r>
    <n v="491866"/>
    <d v="2023-12-18T00:00:00"/>
    <x v="2"/>
    <s v="JUN"/>
    <s v="Furniture"/>
    <n v="32"/>
    <x v="42"/>
    <n v="38484"/>
    <s v="North"/>
    <s v="Marketing"/>
    <m/>
    <s v="Martina Brands"/>
  </r>
  <r>
    <n v="911594"/>
    <d v="2023-06-11T00:00:00"/>
    <x v="4"/>
    <s v="JUN"/>
    <s v="Electronics"/>
    <n v="47"/>
    <x v="43"/>
    <n v="64089"/>
    <s v="South"/>
    <s v="Sales"/>
    <m/>
    <s v="Fatima Zhang"/>
  </r>
  <r>
    <n v="148280"/>
    <d v="2023-12-04T00:00:00"/>
    <x v="0"/>
    <s v="JUN"/>
    <s v="Electronics"/>
    <n v="23"/>
    <x v="44"/>
    <n v="25545"/>
    <s v="South"/>
    <s v="Marketing"/>
    <m/>
    <s v="Raj Mehta"/>
  </r>
  <r>
    <n v="141868"/>
    <d v="2023-07-17T00:00:00"/>
    <x v="7"/>
    <s v="JUN"/>
    <s v="Electronics"/>
    <n v="32"/>
    <x v="45"/>
    <n v="34422"/>
    <s v="West"/>
    <s v="Operations"/>
    <m/>
    <s v="Christi Davis"/>
  </r>
  <r>
    <n v="961598"/>
    <d v="2023-10-19T00:00:00"/>
    <x v="2"/>
    <s v="JUN"/>
    <s v="Electronics"/>
    <n v="31"/>
    <x v="46"/>
    <n v="37256"/>
    <s v="North"/>
    <s v="Marketing"/>
    <m/>
    <s v="Martina Brands"/>
  </r>
  <r>
    <n v="404058"/>
    <d v="2023-05-15T00:00:00"/>
    <x v="5"/>
    <s v="JUN"/>
    <s v="Stationery"/>
    <n v="55"/>
    <x v="47"/>
    <n v="64672"/>
    <s v="East"/>
    <s v="Sales"/>
    <m/>
    <s v="John Taylor"/>
  </r>
  <r>
    <n v="526748"/>
    <d v="2023-02-12T00:00:00"/>
    <x v="3"/>
    <s v="JUN"/>
    <s v="Electronics"/>
    <n v="25"/>
    <x v="48"/>
    <n v="41354"/>
    <s v="North"/>
    <s v="Sales"/>
    <m/>
    <s v="Lynda Smith"/>
  </r>
  <r>
    <n v="440859"/>
    <d v="2023-10-02T00:00:00"/>
    <x v="2"/>
    <s v="JUN"/>
    <s v="Electronics"/>
    <n v="51"/>
    <x v="49"/>
    <n v="77590"/>
    <s v="North"/>
    <s v="Marketing"/>
    <m/>
    <s v="Martina Brands"/>
  </r>
  <r>
    <n v="703768"/>
    <d v="2023-01-30T00:00:00"/>
    <x v="1"/>
    <s v="JUN"/>
    <s v="Furniture"/>
    <n v="44"/>
    <x v="50"/>
    <n v="42692"/>
    <s v="East"/>
    <s v="Sales"/>
    <m/>
    <s v="Ronn Robinson"/>
  </r>
  <r>
    <n v="715404"/>
    <d v="2023-12-29T00:00:00"/>
    <x v="6"/>
    <s v="JUL"/>
    <s v="Stationery"/>
    <n v="47"/>
    <x v="51"/>
    <n v="73543"/>
    <s v="Central"/>
    <s v="Sales"/>
    <m/>
    <s v="Joe Lyn"/>
  </r>
  <r>
    <n v="321701"/>
    <d v="2023-03-06T00:00:00"/>
    <x v="5"/>
    <s v="JUL"/>
    <s v="Electronics"/>
    <n v="29"/>
    <x v="52"/>
    <n v="34765"/>
    <s v="East"/>
    <s v="Sales"/>
    <m/>
    <s v="John Taylor"/>
  </r>
  <r>
    <n v="638856"/>
    <d v="2023-02-02T00:00:00"/>
    <x v="3"/>
    <s v="JUL"/>
    <s v="Furniture"/>
    <n v="40"/>
    <x v="53"/>
    <n v="46499"/>
    <s v="North"/>
    <s v="Sales"/>
    <m/>
    <s v="Lynda Smith"/>
  </r>
  <r>
    <n v="443925"/>
    <d v="2023-10-18T00:00:00"/>
    <x v="1"/>
    <s v="JUL"/>
    <s v="Electronics"/>
    <n v="23"/>
    <x v="54"/>
    <n v="42289"/>
    <s v="East"/>
    <s v="Sales"/>
    <m/>
    <s v="Ronn Robinson"/>
  </r>
  <r>
    <n v="122220"/>
    <d v="2023-01-07T00:00:00"/>
    <x v="0"/>
    <s v="JUL"/>
    <s v="Furniture"/>
    <n v="58"/>
    <x v="55"/>
    <n v="55940"/>
    <s v="South"/>
    <s v="Marketing"/>
    <m/>
    <s v="Raj Mehta"/>
  </r>
  <r>
    <n v="701178"/>
    <d v="2023-05-08T00:00:00"/>
    <x v="0"/>
    <s v="JUL"/>
    <s v="Electronics"/>
    <n v="56"/>
    <x v="56"/>
    <n v="65627"/>
    <s v="South"/>
    <s v="Marketing"/>
    <m/>
    <s v="Raj Mehta"/>
  </r>
  <r>
    <n v="626979"/>
    <d v="2023-04-02T00:00:00"/>
    <x v="0"/>
    <s v="JUL"/>
    <s v="Stationery"/>
    <n v="46"/>
    <x v="57"/>
    <n v="72396"/>
    <s v="South"/>
    <s v="Marketing"/>
    <m/>
    <s v="Raj Mehta"/>
  </r>
  <r>
    <n v="879135"/>
    <d v="2023-10-11T00:00:00"/>
    <x v="4"/>
    <s v="JUL"/>
    <s v="Furniture"/>
    <n v="36"/>
    <x v="58"/>
    <n v="37552"/>
    <s v="South"/>
    <s v="Sales"/>
    <m/>
    <s v="Fatima Zhang"/>
  </r>
  <r>
    <n v="853549"/>
    <d v="2023-09-10T00:00:00"/>
    <x v="7"/>
    <s v="JUL"/>
    <s v="Stationery"/>
    <n v="36"/>
    <x v="59"/>
    <n v="53436"/>
    <s v="West"/>
    <s v="Operations"/>
    <m/>
    <s v="Christi Davis"/>
  </r>
  <r>
    <n v="622476"/>
    <d v="2023-11-22T00:00:00"/>
    <x v="6"/>
    <s v="JUL"/>
    <s v="Electronics"/>
    <n v="49"/>
    <x v="60"/>
    <n v="57509"/>
    <s v="Central"/>
    <s v="Sales"/>
    <m/>
    <s v="Joe Lyn"/>
  </r>
  <r>
    <n v="558080"/>
    <d v="2023-05-02T00:00:00"/>
    <x v="5"/>
    <s v="JUL"/>
    <s v="Stationery"/>
    <n v="59"/>
    <x v="61"/>
    <n v="96346"/>
    <s v="East"/>
    <s v="Sales"/>
    <m/>
    <s v="John Taylor"/>
  </r>
  <r>
    <n v="705811"/>
    <d v="2023-12-25T00:00:00"/>
    <x v="7"/>
    <s v="JUL"/>
    <s v="Electronics"/>
    <n v="52"/>
    <x v="62"/>
    <n v="68922"/>
    <s v="West"/>
    <s v="Operations"/>
    <m/>
    <s v="Christi Davis"/>
  </r>
  <r>
    <n v="614942"/>
    <d v="2023-10-18T00:00:00"/>
    <x v="7"/>
    <s v="AUG"/>
    <s v="Stationery"/>
    <n v="43"/>
    <x v="63"/>
    <n v="57929"/>
    <s v="West"/>
    <s v="Operations"/>
    <m/>
    <s v="Christi Davis"/>
  </r>
  <r>
    <n v="411338"/>
    <d v="2023-05-20T00:00:00"/>
    <x v="6"/>
    <s v="AUG"/>
    <s v="Electronics"/>
    <n v="59"/>
    <x v="64"/>
    <n v="102020"/>
    <s v="Central"/>
    <s v="Sales"/>
    <m/>
    <s v="Joe Lyn"/>
  </r>
  <r>
    <n v="773919"/>
    <d v="2023-07-28T00:00:00"/>
    <x v="6"/>
    <s v="AUG"/>
    <s v="Furniture"/>
    <n v="26"/>
    <x v="65"/>
    <n v="41599"/>
    <s v="Central"/>
    <s v="Sales"/>
    <m/>
    <s v="Joe Lyn"/>
  </r>
  <r>
    <n v="972584"/>
    <d v="2023-12-18T00:00:00"/>
    <x v="0"/>
    <s v="AUG"/>
    <s v="Furniture"/>
    <n v="26"/>
    <x v="66"/>
    <n v="41696"/>
    <s v="South"/>
    <s v="Marketing"/>
    <m/>
    <s v="Raj Mehta"/>
  </r>
  <r>
    <n v="375513"/>
    <d v="2023-07-02T00:00:00"/>
    <x v="6"/>
    <s v="AUG"/>
    <s v="Electronics"/>
    <n v="58"/>
    <x v="67"/>
    <n v="63713"/>
    <s v="Central"/>
    <s v="Sales"/>
    <m/>
    <s v="Joe Lyn"/>
  </r>
  <r>
    <n v="171074"/>
    <d v="2023-10-09T00:00:00"/>
    <x v="6"/>
    <s v="AUG"/>
    <s v="Electronics"/>
    <n v="52"/>
    <x v="68"/>
    <n v="78886"/>
    <s v="Central"/>
    <s v="Sales"/>
    <m/>
    <s v="Joe Lyn"/>
  </r>
  <r>
    <n v="658474"/>
    <d v="2023-12-18T00:00:00"/>
    <x v="2"/>
    <s v="AUG"/>
    <s v="Electronics"/>
    <n v="37"/>
    <x v="69"/>
    <n v="43607"/>
    <s v="North"/>
    <s v="Marketing"/>
    <m/>
    <s v="Martina Brands"/>
  </r>
  <r>
    <n v="136884"/>
    <d v="2023-03-07T00:00:00"/>
    <x v="6"/>
    <s v="AUG"/>
    <s v="Stationery"/>
    <n v="30"/>
    <x v="70"/>
    <n v="50531"/>
    <s v="Central"/>
    <s v="Sales"/>
    <m/>
    <s v="Joe Lyn"/>
  </r>
  <r>
    <n v="347309"/>
    <d v="2023-07-22T00:00:00"/>
    <x v="2"/>
    <s v="AUG"/>
    <s v="Stationery"/>
    <n v="55"/>
    <x v="71"/>
    <n v="58663"/>
    <s v="North"/>
    <s v="Marketing"/>
    <m/>
    <s v="Martina Brands"/>
  </r>
  <r>
    <n v="861040"/>
    <d v="2023-01-18T00:00:00"/>
    <x v="1"/>
    <s v="AUG"/>
    <s v="Stationery"/>
    <n v="54"/>
    <x v="72"/>
    <n v="47270"/>
    <s v="East"/>
    <s v="Sales"/>
    <m/>
    <s v="Ronn Robinson"/>
  </r>
  <r>
    <n v="757259"/>
    <d v="2023-05-24T00:00:00"/>
    <x v="1"/>
    <s v="AUG"/>
    <s v="Furniture"/>
    <n v="47"/>
    <x v="73"/>
    <n v="57425"/>
    <s v="East"/>
    <s v="Sales"/>
    <m/>
    <s v="Ronn Robinson"/>
  </r>
  <r>
    <n v="616139"/>
    <d v="2023-09-03T00:00:00"/>
    <x v="3"/>
    <s v="SEP"/>
    <s v="Stationery"/>
    <n v="42"/>
    <x v="74"/>
    <n v="44856"/>
    <s v="North"/>
    <s v="Sales"/>
    <m/>
    <s v="Lynda Smith"/>
  </r>
  <r>
    <n v="310196"/>
    <d v="2023-11-02T00:00:00"/>
    <x v="0"/>
    <s v="SEP"/>
    <s v="Stationery"/>
    <n v="42"/>
    <x v="75"/>
    <n v="71343"/>
    <s v="South"/>
    <s v="Marketing"/>
    <m/>
    <s v="Raj Mehta"/>
  </r>
  <r>
    <n v="855931"/>
    <d v="2023-12-03T00:00:00"/>
    <x v="1"/>
    <s v="SEP"/>
    <s v="Furniture"/>
    <n v="35"/>
    <x v="76"/>
    <n v="68313"/>
    <s v="East"/>
    <s v="Sales"/>
    <m/>
    <s v="Ronn Robinson"/>
  </r>
  <r>
    <n v="659392"/>
    <d v="2023-04-01T00:00:00"/>
    <x v="3"/>
    <s v="SEP"/>
    <s v="Stationery"/>
    <n v="31"/>
    <x v="77"/>
    <n v="53932"/>
    <s v="North"/>
    <s v="Sales"/>
    <m/>
    <s v="Lynda Smith"/>
  </r>
  <r>
    <n v="509306"/>
    <d v="2023-10-16T00:00:00"/>
    <x v="7"/>
    <s v="SEP"/>
    <s v="Electronics"/>
    <n v="37"/>
    <x v="78"/>
    <n v="35131"/>
    <s v="West"/>
    <s v="Operations"/>
    <m/>
    <s v="Christi Davis"/>
  </r>
  <r>
    <n v="818214"/>
    <d v="2023-11-05T00:00:00"/>
    <x v="2"/>
    <s v="OCT"/>
    <s v="Electronics"/>
    <n v="22"/>
    <x v="79"/>
    <n v="38627"/>
    <s v="North"/>
    <s v="Marketing"/>
    <m/>
    <s v="Martina Brands"/>
  </r>
  <r>
    <n v="667432"/>
    <d v="2023-06-15T00:00:00"/>
    <x v="5"/>
    <s v="OCT"/>
    <s v="Electronics"/>
    <n v="42"/>
    <x v="80"/>
    <n v="46661"/>
    <s v="East"/>
    <s v="Sales"/>
    <m/>
    <s v="John Taylor"/>
  </r>
  <r>
    <n v="572637"/>
    <d v="2023-10-28T00:00:00"/>
    <x v="3"/>
    <s v="OCT"/>
    <s v="Electronics"/>
    <n v="32"/>
    <x v="81"/>
    <n v="44678"/>
    <s v="North"/>
    <s v="Sales"/>
    <m/>
    <s v="Lynda Smith"/>
  </r>
  <r>
    <n v="889905"/>
    <d v="2023-12-22T00:00:00"/>
    <x v="6"/>
    <s v="OCT"/>
    <s v="Stationery"/>
    <n v="42"/>
    <x v="82"/>
    <n v="66206"/>
    <s v="Central"/>
    <s v="Sales"/>
    <m/>
    <s v="Joe Lyn"/>
  </r>
  <r>
    <n v="556516"/>
    <d v="2023-03-07T00:00:00"/>
    <x v="4"/>
    <s v="OCT"/>
    <s v="Electronics"/>
    <n v="21"/>
    <x v="83"/>
    <n v="14109"/>
    <s v="South"/>
    <s v="Sales"/>
    <m/>
    <s v="Fatima Zhang"/>
  </r>
  <r>
    <n v="296032"/>
    <d v="2023-11-10T00:00:00"/>
    <x v="6"/>
    <s v="OCT"/>
    <s v="Furniture"/>
    <n v="22"/>
    <x v="84"/>
    <n v="19668"/>
    <s v="Central"/>
    <s v="Sales"/>
    <m/>
    <s v="Joe Lyn"/>
  </r>
  <r>
    <n v="222196"/>
    <d v="2023-11-22T00:00:00"/>
    <x v="4"/>
    <s v="NOV"/>
    <s v="Furniture"/>
    <n v="47"/>
    <x v="85"/>
    <n v="72761"/>
    <s v="South"/>
    <s v="Sales"/>
    <m/>
    <s v="Fatima Zhang"/>
  </r>
  <r>
    <n v="297033"/>
    <d v="2023-05-08T00:00:00"/>
    <x v="7"/>
    <s v="NOV"/>
    <s v="Electronics"/>
    <n v="36"/>
    <x v="86"/>
    <n v="31008"/>
    <s v="West"/>
    <s v="Operations"/>
    <m/>
    <s v="Christi Davis"/>
  </r>
  <r>
    <n v="719040"/>
    <d v="2023-07-13T00:00:00"/>
    <x v="7"/>
    <s v="NOV"/>
    <s v="Furniture"/>
    <n v="43"/>
    <x v="87"/>
    <n v="65817"/>
    <s v="West"/>
    <s v="Operations"/>
    <m/>
    <s v="Christi Davis"/>
  </r>
  <r>
    <n v="819436"/>
    <d v="2023-01-18T00:00:00"/>
    <x v="4"/>
    <s v="NOV"/>
    <s v="Stationery"/>
    <n v="27"/>
    <x v="88"/>
    <n v="37153"/>
    <s v="South"/>
    <s v="Sales"/>
    <m/>
    <s v="Fatima Zhang"/>
  </r>
  <r>
    <n v="972881"/>
    <d v="2023-06-23T00:00:00"/>
    <x v="6"/>
    <s v="NOV"/>
    <s v="Furniture"/>
    <n v="46"/>
    <x v="89"/>
    <n v="59772"/>
    <s v="Central"/>
    <s v="Sales"/>
    <m/>
    <s v="Joe Lyn"/>
  </r>
  <r>
    <n v="783928"/>
    <d v="2023-02-21T00:00:00"/>
    <x v="1"/>
    <s v="DEC"/>
    <s v="Stationery"/>
    <n v="32"/>
    <x v="66"/>
    <n v="39866"/>
    <s v="East"/>
    <s v="Sales"/>
    <m/>
    <s v="Ronn Robinson"/>
  </r>
  <r>
    <n v="951955"/>
    <d v="2023-02-19T00:00:00"/>
    <x v="1"/>
    <s v="DEC"/>
    <s v="Stationery"/>
    <n v="59"/>
    <x v="90"/>
    <n v="93408"/>
    <s v="East"/>
    <s v="Sales"/>
    <m/>
    <s v="Ronn Robinson"/>
  </r>
  <r>
    <n v="500635"/>
    <d v="2023-12-05T00:00:00"/>
    <x v="3"/>
    <s v="DEC"/>
    <s v="Stationery"/>
    <n v="39"/>
    <x v="91"/>
    <n v="51984"/>
    <s v="North"/>
    <s v="Sales"/>
    <m/>
    <s v="Lynda Smith"/>
  </r>
  <r>
    <n v="120112"/>
    <d v="2023-06-07T00:00:00"/>
    <x v="4"/>
    <s v="DEC"/>
    <s v="Electronics"/>
    <n v="49"/>
    <x v="92"/>
    <n v="68904"/>
    <s v="South"/>
    <s v="Sales"/>
    <m/>
    <s v="Fatima Zhang"/>
  </r>
  <r>
    <n v="746721"/>
    <d v="2023-07-09T00:00:00"/>
    <x v="5"/>
    <s v="DEC"/>
    <s v="Stationery"/>
    <n v="30"/>
    <x v="93"/>
    <n v="53831"/>
    <s v="East"/>
    <s v="Sales"/>
    <m/>
    <s v="John Taylor"/>
  </r>
  <r>
    <n v="149864"/>
    <d v="2023-12-23T00:00:00"/>
    <x v="4"/>
    <s v="DEC"/>
    <s v="Stationery"/>
    <n v="25"/>
    <x v="94"/>
    <n v="38644"/>
    <s v="South"/>
    <s v="Sales"/>
    <m/>
    <s v="Fatima Zhang"/>
  </r>
  <r>
    <n v="913305"/>
    <d v="2023-09-25T00:00:00"/>
    <x v="6"/>
    <s v="DEC"/>
    <s v="Electronics"/>
    <n v="34"/>
    <x v="95"/>
    <n v="63788"/>
    <s v="Central"/>
    <s v="Sales"/>
    <m/>
    <s v="Joe Lyn"/>
  </r>
  <r>
    <n v="349637"/>
    <d v="2023-01-18T00:00:00"/>
    <x v="3"/>
    <s v="DEC"/>
    <s v="Furniture"/>
    <n v="35"/>
    <x v="96"/>
    <n v="46995"/>
    <s v="North"/>
    <s v="Sales"/>
    <m/>
    <s v="Lynda Smith"/>
  </r>
  <r>
    <n v="112584"/>
    <d v="2023-03-27T00:00:00"/>
    <x v="2"/>
    <s v="DEC"/>
    <s v="Stationery"/>
    <n v="60"/>
    <x v="97"/>
    <n v="97155"/>
    <s v="North"/>
    <s v="Marketing"/>
    <m/>
    <s v="Martina Brands"/>
  </r>
  <r>
    <n v="525728"/>
    <d v="2023-12-05T00:00:00"/>
    <x v="2"/>
    <s v="DEC"/>
    <s v="Stationery"/>
    <n v="51"/>
    <x v="98"/>
    <n v="72862"/>
    <s v="North"/>
    <s v="Marketing"/>
    <m/>
    <s v="Martina Brands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770265"/>
    <d v="2023-02-22T00:00:00"/>
    <x v="0"/>
    <s v="JAN"/>
    <s v="Electronics"/>
    <n v="21"/>
    <n v="36939"/>
    <x v="0"/>
    <x v="0"/>
    <x v="0"/>
    <s v="Raj Mehta"/>
    <s v="Marketing Lead"/>
    <s v="South"/>
    <n v="98.680308818422247"/>
  </r>
  <r>
    <n v="562322"/>
    <d v="2023-10-11T00:00:00"/>
    <x v="1"/>
    <s v="JAN"/>
    <s v="Electronics"/>
    <n v="26"/>
    <n v="43992"/>
    <x v="1"/>
    <x v="1"/>
    <x v="1"/>
    <s v="Ronn Robinson"/>
    <s v="Sr. Sales Exec."/>
    <s v="East"/>
    <n v="119.35860216512467"/>
  </r>
  <r>
    <n v="897935"/>
    <d v="2023-05-05T00:00:00"/>
    <x v="2"/>
    <s v="JAN"/>
    <s v="Electronics"/>
    <n v="22"/>
    <n v="22660"/>
    <x v="2"/>
    <x v="2"/>
    <x v="0"/>
    <s v="Martina Brands"/>
    <s v="Brand Manager"/>
    <s v="North"/>
    <n v="86.73684210526315"/>
  </r>
  <r>
    <n v="531908"/>
    <d v="2023-02-02T00:00:00"/>
    <x v="3"/>
    <s v="JAN"/>
    <s v="Stationery"/>
    <n v="55"/>
    <n v="66165"/>
    <x v="3"/>
    <x v="2"/>
    <x v="1"/>
    <s v="Lynda Smith"/>
    <s v="Sales Executive"/>
    <s v="North"/>
    <n v="111.32516741259212"/>
  </r>
  <r>
    <n v="208664"/>
    <d v="2023-11-01T00:00:00"/>
    <x v="2"/>
    <s v="JAN"/>
    <s v="Electronics"/>
    <n v="34"/>
    <n v="49606"/>
    <x v="4"/>
    <x v="2"/>
    <x v="0"/>
    <s v="Martina Brands"/>
    <s v="Brand Manager"/>
    <s v="North"/>
    <n v="110.35326570564156"/>
  </r>
  <r>
    <n v="690563"/>
    <d v="2023-08-14T00:00:00"/>
    <x v="1"/>
    <s v="JAN"/>
    <s v="Electronics"/>
    <n v="47"/>
    <n v="63356"/>
    <x v="5"/>
    <x v="1"/>
    <x v="1"/>
    <s v="Ronn Robinson"/>
    <s v="Sr. Sales Exec."/>
    <s v="East"/>
    <n v="99.29784966459782"/>
  </r>
  <r>
    <n v="484790"/>
    <d v="2023-04-01T00:00:00"/>
    <x v="4"/>
    <s v="JAN"/>
    <s v="Furniture"/>
    <n v="26"/>
    <n v="28444"/>
    <x v="6"/>
    <x v="0"/>
    <x v="1"/>
    <s v="Fatima Zhang"/>
    <s v="Sales Executive"/>
    <s v="South"/>
    <n v="104.49669360764145"/>
  </r>
  <r>
    <n v="424434"/>
    <d v="2023-07-21T00:00:00"/>
    <x v="4"/>
    <s v="JAN"/>
    <s v="Stationery"/>
    <n v="58"/>
    <n v="73660"/>
    <x v="7"/>
    <x v="0"/>
    <x v="1"/>
    <s v="Fatima Zhang"/>
    <s v="Sales Executive"/>
    <s v="South"/>
    <n v="112.56628512920825"/>
  </r>
  <r>
    <n v="190886"/>
    <d v="2023-12-29T00:00:00"/>
    <x v="5"/>
    <s v="FEB"/>
    <s v="Stationery"/>
    <n v="54"/>
    <n v="60858"/>
    <x v="8"/>
    <x v="1"/>
    <x v="1"/>
    <s v="John Taylor"/>
    <s v="Sales Manager"/>
    <s v="East"/>
    <n v="102.01317531890641"/>
  </r>
  <r>
    <n v="655665"/>
    <d v="2023-05-04T00:00:00"/>
    <x v="6"/>
    <s v="FEB"/>
    <s v="Stationery"/>
    <n v="60"/>
    <n v="97980"/>
    <x v="9"/>
    <x v="3"/>
    <x v="1"/>
    <s v="Joe Lyn"/>
    <s v="Sales Associate"/>
    <s v="Central"/>
    <n v="110.7456512156251"/>
  </r>
  <r>
    <n v="624861"/>
    <d v="2023-07-25T00:00:00"/>
    <x v="7"/>
    <s v="FEB"/>
    <s v="Furniture"/>
    <n v="24"/>
    <n v="25104"/>
    <x v="10"/>
    <x v="4"/>
    <x v="2"/>
    <s v="Christi Davis"/>
    <s v="Ops Manager"/>
    <s v="West"/>
    <n v="130.27503892060196"/>
  </r>
  <r>
    <n v="279643"/>
    <d v="2023-02-25T00:00:00"/>
    <x v="0"/>
    <s v="FEB"/>
    <s v="Furniture"/>
    <n v="34"/>
    <n v="64158"/>
    <x v="11"/>
    <x v="0"/>
    <x v="0"/>
    <s v="Raj Mehta"/>
    <s v="Marketing Lead"/>
    <s v="South"/>
    <n v="95.043256695899501"/>
  </r>
  <r>
    <n v="915044"/>
    <d v="2023-02-24T00:00:00"/>
    <x v="5"/>
    <s v="FEB"/>
    <s v="Furniture"/>
    <n v="60"/>
    <n v="111240"/>
    <x v="12"/>
    <x v="1"/>
    <x v="1"/>
    <s v="John Taylor"/>
    <s v="Sales Manager"/>
    <s v="East"/>
    <n v="100.88606332133172"/>
  </r>
  <r>
    <n v="480683"/>
    <d v="2023-08-26T00:00:00"/>
    <x v="4"/>
    <s v="FEB"/>
    <s v="Stationery"/>
    <n v="33"/>
    <n v="55638"/>
    <x v="13"/>
    <x v="0"/>
    <x v="1"/>
    <s v="Fatima Zhang"/>
    <s v="Sales Executive"/>
    <s v="South"/>
    <n v="98.88738802786861"/>
  </r>
  <r>
    <n v="527151"/>
    <d v="2023-02-13T00:00:00"/>
    <x v="0"/>
    <s v="FEB"/>
    <s v="Stationery"/>
    <n v="58"/>
    <n v="95700"/>
    <x v="14"/>
    <x v="0"/>
    <x v="0"/>
    <s v="Raj Mehta"/>
    <s v="Marketing Lead"/>
    <s v="South"/>
    <n v="97.755804570109404"/>
  </r>
  <r>
    <n v="914427"/>
    <d v="2023-06-28T00:00:00"/>
    <x v="7"/>
    <s v="FEB"/>
    <s v="Stationery"/>
    <n v="30"/>
    <n v="44190"/>
    <x v="15"/>
    <x v="4"/>
    <x v="2"/>
    <s v="Christi Davis"/>
    <s v="Ops Manager"/>
    <s v="West"/>
    <n v="102.82961790850283"/>
  </r>
  <r>
    <n v="457546"/>
    <d v="2023-11-28T00:00:00"/>
    <x v="7"/>
    <s v="FEB"/>
    <s v="Electronics"/>
    <n v="40"/>
    <n v="74520"/>
    <x v="16"/>
    <x v="4"/>
    <x v="2"/>
    <s v="Christi Davis"/>
    <s v="Ops Manager"/>
    <s v="West"/>
    <n v="111.33687922070162"/>
  </r>
  <r>
    <n v="674613"/>
    <d v="2023-08-25T00:00:00"/>
    <x v="3"/>
    <s v="MAR"/>
    <s v="Electronics"/>
    <n v="40"/>
    <n v="56400"/>
    <x v="17"/>
    <x v="2"/>
    <x v="1"/>
    <s v="Lynda Smith"/>
    <s v="Sales Executive"/>
    <s v="North"/>
    <n v="98.923071526291778"/>
  </r>
  <r>
    <n v="376752"/>
    <d v="2023-04-12T00:00:00"/>
    <x v="4"/>
    <s v="MAR"/>
    <s v="Stationery"/>
    <n v="33"/>
    <n v="55143"/>
    <x v="18"/>
    <x v="0"/>
    <x v="1"/>
    <s v="Fatima Zhang"/>
    <s v="Sales Executive"/>
    <s v="South"/>
    <n v="106.11769686706181"/>
  </r>
  <r>
    <n v="476554"/>
    <d v="2023-10-02T00:00:00"/>
    <x v="5"/>
    <s v="MAR"/>
    <s v="Stationery"/>
    <n v="29"/>
    <n v="36859"/>
    <x v="19"/>
    <x v="1"/>
    <x v="1"/>
    <s v="John Taylor"/>
    <s v="Sales Manager"/>
    <s v="East"/>
    <n v="93.144142322854535"/>
  </r>
  <r>
    <n v="664779"/>
    <d v="2023-11-09T00:00:00"/>
    <x v="6"/>
    <s v="MAR"/>
    <s v="Furniture"/>
    <n v="57"/>
    <n v="81966"/>
    <x v="20"/>
    <x v="3"/>
    <x v="1"/>
    <s v="Joe Lyn"/>
    <s v="Sales Associate"/>
    <s v="Central"/>
    <n v="113.43676045227451"/>
  </r>
  <r>
    <n v="311452"/>
    <d v="2023-02-13T00:00:00"/>
    <x v="4"/>
    <s v="MAR"/>
    <s v="Electronics"/>
    <n v="34"/>
    <n v="38794"/>
    <x v="21"/>
    <x v="0"/>
    <x v="1"/>
    <s v="Fatima Zhang"/>
    <s v="Sales Executive"/>
    <s v="South"/>
    <n v="109.44535349545788"/>
  </r>
  <r>
    <n v="448445"/>
    <d v="2023-11-02T00:00:00"/>
    <x v="3"/>
    <s v="MAR"/>
    <s v="Stationery"/>
    <n v="27"/>
    <n v="31212"/>
    <x v="22"/>
    <x v="2"/>
    <x v="1"/>
    <s v="Lynda Smith"/>
    <s v="Sales Executive"/>
    <s v="North"/>
    <n v="120.36094400740399"/>
  </r>
  <r>
    <n v="384298"/>
    <d v="2023-05-28T00:00:00"/>
    <x v="2"/>
    <s v="APR"/>
    <s v="Stationery"/>
    <n v="58"/>
    <n v="61770"/>
    <x v="23"/>
    <x v="2"/>
    <x v="0"/>
    <s v="Martina Brands"/>
    <s v="Brand Manager"/>
    <s v="North"/>
    <n v="102.15658386531274"/>
  </r>
  <r>
    <n v="168453"/>
    <d v="2023-10-15T00:00:00"/>
    <x v="5"/>
    <s v="APR"/>
    <s v="Stationery"/>
    <n v="53"/>
    <n v="66621"/>
    <x v="24"/>
    <x v="1"/>
    <x v="1"/>
    <s v="John Taylor"/>
    <s v="Sales Manager"/>
    <s v="East"/>
    <n v="106.49647521460427"/>
  </r>
  <r>
    <n v="985975"/>
    <d v="2023-01-16T00:00:00"/>
    <x v="0"/>
    <s v="APR"/>
    <s v="Furniture"/>
    <n v="54"/>
    <n v="95472"/>
    <x v="25"/>
    <x v="0"/>
    <x v="0"/>
    <s v="Raj Mehta"/>
    <s v="Marketing Lead"/>
    <s v="South"/>
    <n v="99.345480275959659"/>
  </r>
  <r>
    <n v="177349"/>
    <d v="2023-10-09T00:00:00"/>
    <x v="0"/>
    <s v="APR"/>
    <s v="Electronics"/>
    <n v="38"/>
    <n v="54910"/>
    <x v="26"/>
    <x v="0"/>
    <x v="0"/>
    <s v="Raj Mehta"/>
    <s v="Marketing Lead"/>
    <s v="South"/>
    <n v="95.797205115232302"/>
  </r>
  <r>
    <n v="717424"/>
    <d v="2023-10-07T00:00:00"/>
    <x v="6"/>
    <s v="APR"/>
    <s v="Electronics"/>
    <n v="52"/>
    <n v="92560"/>
    <x v="27"/>
    <x v="3"/>
    <x v="1"/>
    <s v="Joe Lyn"/>
    <s v="Sales Associate"/>
    <s v="Central"/>
    <n v="97.809432227658434"/>
  </r>
  <r>
    <n v="627211"/>
    <d v="2023-02-14T00:00:00"/>
    <x v="6"/>
    <s v="APR"/>
    <s v="Electronics"/>
    <n v="60"/>
    <n v="91140"/>
    <x v="28"/>
    <x v="3"/>
    <x v="1"/>
    <s v="Joe Lyn"/>
    <s v="Sales Associate"/>
    <s v="Central"/>
    <n v="105.77626127223982"/>
  </r>
  <r>
    <n v="253564"/>
    <d v="2023-03-26T00:00:00"/>
    <x v="4"/>
    <s v="APR"/>
    <s v="Electronics"/>
    <n v="30"/>
    <n v="46560"/>
    <x v="29"/>
    <x v="0"/>
    <x v="1"/>
    <s v="Fatima Zhang"/>
    <s v="Sales Executive"/>
    <s v="South"/>
    <n v="119.99072236682731"/>
  </r>
  <r>
    <n v="949565"/>
    <d v="2023-06-15T00:00:00"/>
    <x v="4"/>
    <s v="APR"/>
    <s v="Furniture"/>
    <n v="51"/>
    <n v="51969"/>
    <x v="30"/>
    <x v="0"/>
    <x v="1"/>
    <s v="Fatima Zhang"/>
    <s v="Sales Executive"/>
    <s v="South"/>
    <n v="94.254311986506337"/>
  </r>
  <r>
    <n v="756995"/>
    <d v="2023-05-22T00:00:00"/>
    <x v="7"/>
    <s v="APR"/>
    <s v="Electronics"/>
    <n v="23"/>
    <n v="28658"/>
    <x v="31"/>
    <x v="4"/>
    <x v="2"/>
    <s v="Christi Davis"/>
    <s v="Ops Manager"/>
    <s v="West"/>
    <n v="148.69506563586364"/>
  </r>
  <r>
    <n v="808505"/>
    <d v="2023-11-20T00:00:00"/>
    <x v="0"/>
    <s v="APR"/>
    <s v="Electronics"/>
    <n v="51"/>
    <n v="93585"/>
    <x v="32"/>
    <x v="0"/>
    <x v="0"/>
    <s v="Raj Mehta"/>
    <s v="Marketing Lead"/>
    <s v="South"/>
    <n v="96.031892624061072"/>
  </r>
  <r>
    <n v="870287"/>
    <d v="2023-12-22T00:00:00"/>
    <x v="1"/>
    <s v="MAY"/>
    <s v="Furniture"/>
    <n v="50"/>
    <n v="98450"/>
    <x v="33"/>
    <x v="1"/>
    <x v="1"/>
    <s v="Ronn Robinson"/>
    <s v="Sr. Sales Exec."/>
    <s v="East"/>
    <n v="104.24277077178827"/>
  </r>
  <r>
    <n v="646329"/>
    <d v="2023-07-23T00:00:00"/>
    <x v="2"/>
    <s v="MAY"/>
    <s v="Stationery"/>
    <n v="33"/>
    <n v="64383"/>
    <x v="34"/>
    <x v="2"/>
    <x v="0"/>
    <s v="Martina Brands"/>
    <s v="Brand Manager"/>
    <s v="North"/>
    <n v="106.33381779744995"/>
  </r>
  <r>
    <n v="236087"/>
    <d v="2023-10-17T00:00:00"/>
    <x v="7"/>
    <s v="MAY"/>
    <s v="Furniture"/>
    <n v="39"/>
    <n v="54912"/>
    <x v="35"/>
    <x v="4"/>
    <x v="2"/>
    <s v="Christi Davis"/>
    <s v="Ops Manager"/>
    <s v="West"/>
    <n v="112.27611024781221"/>
  </r>
  <r>
    <n v="396076"/>
    <d v="2023-08-22T00:00:00"/>
    <x v="5"/>
    <s v="MAY"/>
    <s v="Electronics"/>
    <n v="53"/>
    <n v="77486"/>
    <x v="36"/>
    <x v="1"/>
    <x v="1"/>
    <s v="John Taylor"/>
    <s v="Sales Manager"/>
    <s v="East"/>
    <n v="96.25111795687171"/>
  </r>
  <r>
    <n v="669417"/>
    <d v="2023-12-02T00:00:00"/>
    <x v="0"/>
    <s v="MAY"/>
    <s v="Electronics"/>
    <n v="41"/>
    <n v="41861"/>
    <x v="37"/>
    <x v="0"/>
    <x v="0"/>
    <s v="Raj Mehta"/>
    <s v="Marketing Lead"/>
    <s v="South"/>
    <n v="112.4600381484566"/>
  </r>
  <r>
    <n v="624149"/>
    <d v="2023-12-25T00:00:00"/>
    <x v="7"/>
    <s v="MAY"/>
    <s v="Electronics"/>
    <n v="20"/>
    <n v="21440"/>
    <x v="38"/>
    <x v="4"/>
    <x v="2"/>
    <s v="Christi Davis"/>
    <s v="Ops Manager"/>
    <s v="West"/>
    <n v="144.44519302027891"/>
  </r>
  <r>
    <n v="804827"/>
    <d v="2023-09-23T00:00:00"/>
    <x v="7"/>
    <s v="MAY"/>
    <s v="Electronics"/>
    <n v="24"/>
    <n v="46248"/>
    <x v="39"/>
    <x v="4"/>
    <x v="2"/>
    <s v="Christi Davis"/>
    <s v="Ops Manager"/>
    <s v="West"/>
    <n v="91.157803445421209"/>
  </r>
  <r>
    <n v="428406"/>
    <d v="2023-07-16T00:00:00"/>
    <x v="7"/>
    <s v="MAY"/>
    <s v="Stationery"/>
    <n v="37"/>
    <n v="62345"/>
    <x v="40"/>
    <x v="4"/>
    <x v="2"/>
    <s v="Christi Davis"/>
    <s v="Ops Manager"/>
    <s v="West"/>
    <n v="104.97205010775863"/>
  </r>
  <r>
    <n v="429678"/>
    <d v="2023-02-05T00:00:00"/>
    <x v="1"/>
    <s v="MAY"/>
    <s v="Furniture"/>
    <n v="56"/>
    <n v="89040"/>
    <x v="41"/>
    <x v="1"/>
    <x v="1"/>
    <s v="Ronn Robinson"/>
    <s v="Sr. Sales Exec."/>
    <s v="East"/>
    <n v="103.17975340687866"/>
  </r>
  <r>
    <n v="491866"/>
    <d v="2023-12-18T00:00:00"/>
    <x v="2"/>
    <s v="JUN"/>
    <s v="Furniture"/>
    <n v="32"/>
    <n v="35072"/>
    <x v="42"/>
    <x v="2"/>
    <x v="0"/>
    <s v="Martina Brands"/>
    <s v="Brand Manager"/>
    <s v="North"/>
    <n v="91.133977756989921"/>
  </r>
  <r>
    <n v="911594"/>
    <d v="2023-06-11T00:00:00"/>
    <x v="4"/>
    <s v="JUN"/>
    <s v="Electronics"/>
    <n v="47"/>
    <n v="66740"/>
    <x v="43"/>
    <x v="0"/>
    <x v="1"/>
    <s v="Fatima Zhang"/>
    <s v="Sales Executive"/>
    <s v="South"/>
    <n v="104.13643526970307"/>
  </r>
  <r>
    <n v="148280"/>
    <d v="2023-12-04T00:00:00"/>
    <x v="0"/>
    <s v="JUN"/>
    <s v="Electronics"/>
    <n v="23"/>
    <n v="32476"/>
    <x v="44"/>
    <x v="0"/>
    <x v="0"/>
    <s v="Raj Mehta"/>
    <s v="Marketing Lead"/>
    <s v="South"/>
    <n v="127.13251125464866"/>
  </r>
  <r>
    <n v="141868"/>
    <d v="2023-07-17T00:00:00"/>
    <x v="7"/>
    <s v="JUN"/>
    <s v="Electronics"/>
    <n v="32"/>
    <n v="38208"/>
    <x v="45"/>
    <x v="4"/>
    <x v="2"/>
    <s v="Christi Davis"/>
    <s v="Ops Manager"/>
    <s v="West"/>
    <n v="110.99877985009587"/>
  </r>
  <r>
    <n v="961598"/>
    <d v="2023-10-19T00:00:00"/>
    <x v="2"/>
    <s v="JUN"/>
    <s v="Electronics"/>
    <n v="31"/>
    <n v="39835"/>
    <x v="46"/>
    <x v="2"/>
    <x v="0"/>
    <s v="Martina Brands"/>
    <s v="Brand Manager"/>
    <s v="North"/>
    <n v="106.92237491947606"/>
  </r>
  <r>
    <n v="404058"/>
    <d v="2023-05-15T00:00:00"/>
    <x v="5"/>
    <s v="JUN"/>
    <s v="Stationery"/>
    <n v="55"/>
    <n v="60500"/>
    <x v="47"/>
    <x v="1"/>
    <x v="1"/>
    <s v="John Taylor"/>
    <s v="Sales Manager"/>
    <s v="East"/>
    <n v="93.548985650667987"/>
  </r>
  <r>
    <n v="526748"/>
    <d v="2023-02-12T00:00:00"/>
    <x v="3"/>
    <s v="JUN"/>
    <s v="Electronics"/>
    <n v="25"/>
    <n v="48700"/>
    <x v="48"/>
    <x v="2"/>
    <x v="1"/>
    <s v="Lynda Smith"/>
    <s v="Sales Executive"/>
    <s v="North"/>
    <n v="117.7636987957634"/>
  </r>
  <r>
    <n v="440859"/>
    <d v="2023-10-02T00:00:00"/>
    <x v="2"/>
    <s v="JUN"/>
    <s v="Electronics"/>
    <n v="51"/>
    <n v="76092"/>
    <x v="49"/>
    <x v="2"/>
    <x v="0"/>
    <s v="Martina Brands"/>
    <s v="Brand Manager"/>
    <s v="North"/>
    <n v="98.069338832323751"/>
  </r>
  <r>
    <n v="703768"/>
    <d v="2023-01-30T00:00:00"/>
    <x v="1"/>
    <s v="JUN"/>
    <s v="Furniture"/>
    <n v="44"/>
    <n v="44088"/>
    <x v="50"/>
    <x v="1"/>
    <x v="1"/>
    <s v="Ronn Robinson"/>
    <s v="Sr. Sales Exec."/>
    <s v="East"/>
    <n v="103.26993347699802"/>
  </r>
  <r>
    <n v="715404"/>
    <d v="2023-12-29T00:00:00"/>
    <x v="6"/>
    <s v="JUL"/>
    <s v="Stationery"/>
    <n v="47"/>
    <n v="80511"/>
    <x v="51"/>
    <x v="3"/>
    <x v="1"/>
    <s v="Joe Lyn"/>
    <s v="Sales Associate"/>
    <s v="Central"/>
    <n v="109.47472907006785"/>
  </r>
  <r>
    <n v="321701"/>
    <d v="2023-03-06T00:00:00"/>
    <x v="5"/>
    <s v="JUL"/>
    <s v="Electronics"/>
    <n v="29"/>
    <n v="34626"/>
    <x v="52"/>
    <x v="1"/>
    <x v="1"/>
    <s v="John Taylor"/>
    <s v="Sales Manager"/>
    <s v="East"/>
    <n v="99.600172587372356"/>
  </r>
  <r>
    <n v="638856"/>
    <d v="2023-02-02T00:00:00"/>
    <x v="3"/>
    <s v="JUL"/>
    <s v="Furniture"/>
    <n v="40"/>
    <n v="42320"/>
    <x v="53"/>
    <x v="2"/>
    <x v="1"/>
    <s v="Lynda Smith"/>
    <s v="Sales Executive"/>
    <s v="North"/>
    <n v="91.012709950751628"/>
  </r>
  <r>
    <n v="443925"/>
    <d v="2023-10-18T00:00:00"/>
    <x v="1"/>
    <s v="JUL"/>
    <s v="Electronics"/>
    <n v="23"/>
    <n v="45609"/>
    <x v="54"/>
    <x v="1"/>
    <x v="1"/>
    <s v="Ronn Robinson"/>
    <s v="Sr. Sales Exec."/>
    <s v="East"/>
    <n v="107.85074132753198"/>
  </r>
  <r>
    <n v="122220"/>
    <d v="2023-01-07T00:00:00"/>
    <x v="0"/>
    <s v="JUL"/>
    <s v="Furniture"/>
    <n v="58"/>
    <n v="62002"/>
    <x v="55"/>
    <x v="0"/>
    <x v="0"/>
    <s v="Raj Mehta"/>
    <s v="Marketing Lead"/>
    <s v="South"/>
    <n v="110.83661065427243"/>
  </r>
  <r>
    <n v="701178"/>
    <d v="2023-05-08T00:00:00"/>
    <x v="0"/>
    <s v="JUL"/>
    <s v="Electronics"/>
    <n v="56"/>
    <n v="70112"/>
    <x v="56"/>
    <x v="0"/>
    <x v="0"/>
    <s v="Raj Mehta"/>
    <s v="Marketing Lead"/>
    <s v="South"/>
    <n v="106.83407743763999"/>
  </r>
  <r>
    <n v="626979"/>
    <d v="2023-04-02T00:00:00"/>
    <x v="0"/>
    <s v="JUL"/>
    <s v="Stationery"/>
    <n v="46"/>
    <n v="76958"/>
    <x v="57"/>
    <x v="0"/>
    <x v="0"/>
    <s v="Raj Mehta"/>
    <s v="Marketing Lead"/>
    <s v="South"/>
    <n v="106.30145311895684"/>
  </r>
  <r>
    <n v="879135"/>
    <d v="2023-10-11T00:00:00"/>
    <x v="4"/>
    <s v="JUL"/>
    <s v="Furniture"/>
    <n v="36"/>
    <n v="43524"/>
    <x v="58"/>
    <x v="0"/>
    <x v="1"/>
    <s v="Fatima Zhang"/>
    <s v="Sales Executive"/>
    <s v="South"/>
    <n v="115.90328078397955"/>
  </r>
  <r>
    <n v="853549"/>
    <d v="2023-09-10T00:00:00"/>
    <x v="7"/>
    <s v="JUL"/>
    <s v="Stationery"/>
    <n v="36"/>
    <n v="50580"/>
    <x v="59"/>
    <x v="4"/>
    <x v="2"/>
    <s v="Christi Davis"/>
    <s v="Ops Manager"/>
    <s v="West"/>
    <n v="94.655288569503711"/>
  </r>
  <r>
    <n v="622476"/>
    <d v="2023-11-22T00:00:00"/>
    <x v="6"/>
    <s v="JUL"/>
    <s v="Electronics"/>
    <n v="49"/>
    <n v="64827"/>
    <x v="60"/>
    <x v="3"/>
    <x v="1"/>
    <s v="Joe Lyn"/>
    <s v="Sales Associate"/>
    <s v="Central"/>
    <n v="112.72496478812013"/>
  </r>
  <r>
    <n v="558080"/>
    <d v="2023-05-02T00:00:00"/>
    <x v="5"/>
    <s v="JUL"/>
    <s v="Stationery"/>
    <n v="59"/>
    <n v="92984"/>
    <x v="61"/>
    <x v="1"/>
    <x v="1"/>
    <s v="John Taylor"/>
    <s v="Sales Manager"/>
    <s v="East"/>
    <n v="96.510493429929639"/>
  </r>
  <r>
    <n v="705811"/>
    <d v="2023-12-25T00:00:00"/>
    <x v="7"/>
    <s v="JUL"/>
    <s v="Electronics"/>
    <n v="52"/>
    <n v="66092"/>
    <x v="62"/>
    <x v="4"/>
    <x v="2"/>
    <s v="Christi Davis"/>
    <s v="Ops Manager"/>
    <s v="West"/>
    <n v="95.893909056614717"/>
  </r>
  <r>
    <n v="614942"/>
    <d v="2023-10-18T00:00:00"/>
    <x v="7"/>
    <s v="AUG"/>
    <s v="Stationery"/>
    <n v="43"/>
    <n v="55513"/>
    <x v="63"/>
    <x v="4"/>
    <x v="2"/>
    <s v="Christi Davis"/>
    <s v="Ops Manager"/>
    <s v="West"/>
    <n v="95.829377341228053"/>
  </r>
  <r>
    <n v="411338"/>
    <d v="2023-05-20T00:00:00"/>
    <x v="6"/>
    <s v="AUG"/>
    <s v="Electronics"/>
    <n v="59"/>
    <n v="107734"/>
    <x v="64"/>
    <x v="3"/>
    <x v="1"/>
    <s v="Joe Lyn"/>
    <s v="Sales Associate"/>
    <s v="Central"/>
    <n v="105.60086257596551"/>
  </r>
  <r>
    <n v="773919"/>
    <d v="2023-07-28T00:00:00"/>
    <x v="6"/>
    <s v="AUG"/>
    <s v="Furniture"/>
    <n v="26"/>
    <n v="50986"/>
    <x v="65"/>
    <x v="3"/>
    <x v="1"/>
    <s v="Joe Lyn"/>
    <s v="Sales Associate"/>
    <s v="Central"/>
    <n v="122.56544628476647"/>
  </r>
  <r>
    <n v="972584"/>
    <d v="2023-12-18T00:00:00"/>
    <x v="0"/>
    <s v="AUG"/>
    <s v="Furniture"/>
    <n v="26"/>
    <n v="45760"/>
    <x v="66"/>
    <x v="0"/>
    <x v="0"/>
    <s v="Raj Mehta"/>
    <s v="Marketing Lead"/>
    <s v="South"/>
    <n v="109.74673829623944"/>
  </r>
  <r>
    <n v="375513"/>
    <d v="2023-07-02T00:00:00"/>
    <x v="6"/>
    <s v="AUG"/>
    <s v="Electronics"/>
    <n v="58"/>
    <n v="70470"/>
    <x v="67"/>
    <x v="3"/>
    <x v="1"/>
    <s v="Joe Lyn"/>
    <s v="Sales Associate"/>
    <s v="Central"/>
    <n v="110.60537096040055"/>
  </r>
  <r>
    <n v="171074"/>
    <d v="2023-10-09T00:00:00"/>
    <x v="6"/>
    <s v="AUG"/>
    <s v="Electronics"/>
    <n v="52"/>
    <n v="78000"/>
    <x v="68"/>
    <x v="3"/>
    <x v="1"/>
    <s v="Joe Lyn"/>
    <s v="Sales Associate"/>
    <s v="Central"/>
    <n v="98.876860279390513"/>
  </r>
  <r>
    <n v="658474"/>
    <d v="2023-12-18T00:00:00"/>
    <x v="2"/>
    <s v="AUG"/>
    <s v="Electronics"/>
    <n v="37"/>
    <n v="38665"/>
    <x v="69"/>
    <x v="2"/>
    <x v="0"/>
    <s v="Martina Brands"/>
    <s v="Brand Manager"/>
    <s v="North"/>
    <n v="88.666957139908732"/>
  </r>
  <r>
    <n v="136884"/>
    <d v="2023-03-07T00:00:00"/>
    <x v="6"/>
    <s v="AUG"/>
    <s v="Stationery"/>
    <n v="30"/>
    <n v="52770"/>
    <x v="70"/>
    <x v="3"/>
    <x v="1"/>
    <s v="Joe Lyn"/>
    <s v="Sales Associate"/>
    <s v="Central"/>
    <n v="104.43094338129069"/>
  </r>
  <r>
    <n v="347309"/>
    <d v="2023-07-22T00:00:00"/>
    <x v="2"/>
    <s v="AUG"/>
    <s v="Stationery"/>
    <n v="55"/>
    <n v="55495"/>
    <x v="71"/>
    <x v="2"/>
    <x v="0"/>
    <s v="Martina Brands"/>
    <s v="Brand Manager"/>
    <s v="North"/>
    <n v="94.599662478904932"/>
  </r>
  <r>
    <n v="861040"/>
    <d v="2023-01-18T00:00:00"/>
    <x v="1"/>
    <s v="AUG"/>
    <s v="Stationery"/>
    <n v="54"/>
    <n v="55944"/>
    <x v="72"/>
    <x v="1"/>
    <x v="1"/>
    <s v="Ronn Robinson"/>
    <s v="Sr. Sales Exec."/>
    <s v="East"/>
    <n v="118.34990480220013"/>
  </r>
  <r>
    <n v="757259"/>
    <d v="2023-05-24T00:00:00"/>
    <x v="1"/>
    <s v="AUG"/>
    <s v="Furniture"/>
    <n v="47"/>
    <n v="53110"/>
    <x v="73"/>
    <x v="1"/>
    <x v="1"/>
    <s v="Ronn Robinson"/>
    <s v="Sr. Sales Exec."/>
    <s v="East"/>
    <n v="92.48585111014367"/>
  </r>
  <r>
    <n v="616139"/>
    <d v="2023-09-03T00:00:00"/>
    <x v="3"/>
    <s v="SEP"/>
    <s v="Stationery"/>
    <n v="42"/>
    <n v="51030"/>
    <x v="74"/>
    <x v="2"/>
    <x v="1"/>
    <s v="Lynda Smith"/>
    <s v="Sales Executive"/>
    <s v="North"/>
    <n v="113.76404494382022"/>
  </r>
  <r>
    <n v="310196"/>
    <d v="2023-11-02T00:00:00"/>
    <x v="0"/>
    <s v="SEP"/>
    <s v="Stationery"/>
    <n v="42"/>
    <n v="75516"/>
    <x v="75"/>
    <x v="0"/>
    <x v="0"/>
    <s v="Raj Mehta"/>
    <s v="Marketing Lead"/>
    <s v="South"/>
    <n v="105.84920735040579"/>
  </r>
  <r>
    <n v="855931"/>
    <d v="2023-12-03T00:00:00"/>
    <x v="1"/>
    <s v="SEP"/>
    <s v="Furniture"/>
    <n v="35"/>
    <n v="65975"/>
    <x v="76"/>
    <x v="1"/>
    <x v="1"/>
    <s v="Ronn Robinson"/>
    <s v="Sr. Sales Exec."/>
    <s v="East"/>
    <n v="96.577518188338971"/>
  </r>
  <r>
    <n v="659392"/>
    <d v="2023-04-01T00:00:00"/>
    <x v="3"/>
    <s v="SEP"/>
    <s v="Stationery"/>
    <n v="31"/>
    <n v="54374"/>
    <x v="77"/>
    <x v="2"/>
    <x v="1"/>
    <s v="Lynda Smith"/>
    <s v="Sales Executive"/>
    <s v="North"/>
    <n v="100.81955054513089"/>
  </r>
  <r>
    <n v="509306"/>
    <d v="2023-10-16T00:00:00"/>
    <x v="7"/>
    <s v="SEP"/>
    <s v="Electronics"/>
    <n v="37"/>
    <n v="43031"/>
    <x v="78"/>
    <x v="4"/>
    <x v="2"/>
    <s v="Christi Davis"/>
    <s v="Ops Manager"/>
    <s v="West"/>
    <n v="122.48726196236942"/>
  </r>
  <r>
    <n v="818214"/>
    <d v="2023-11-05T00:00:00"/>
    <x v="2"/>
    <s v="OCT"/>
    <s v="Electronics"/>
    <n v="22"/>
    <n v="41338"/>
    <x v="79"/>
    <x v="2"/>
    <x v="0"/>
    <s v="Martina Brands"/>
    <s v="Brand Manager"/>
    <s v="North"/>
    <n v="107.01840681388666"/>
  </r>
  <r>
    <n v="667432"/>
    <d v="2023-06-15T00:00:00"/>
    <x v="5"/>
    <s v="OCT"/>
    <s v="Electronics"/>
    <n v="42"/>
    <n v="55104"/>
    <x v="80"/>
    <x v="1"/>
    <x v="1"/>
    <s v="John Taylor"/>
    <s v="Sales Manager"/>
    <s v="East"/>
    <n v="118.09434002700327"/>
  </r>
  <r>
    <n v="572637"/>
    <d v="2023-10-28T00:00:00"/>
    <x v="3"/>
    <s v="OCT"/>
    <s v="Electronics"/>
    <n v="32"/>
    <n v="45056"/>
    <x v="81"/>
    <x v="2"/>
    <x v="1"/>
    <s v="Lynda Smith"/>
    <s v="Sales Executive"/>
    <s v="North"/>
    <n v="100.84605398630198"/>
  </r>
  <r>
    <n v="889905"/>
    <d v="2023-12-22T00:00:00"/>
    <x v="6"/>
    <s v="OCT"/>
    <s v="Stationery"/>
    <n v="42"/>
    <n v="69552"/>
    <x v="82"/>
    <x v="3"/>
    <x v="1"/>
    <s v="Joe Lyn"/>
    <s v="Sales Associate"/>
    <s v="Central"/>
    <n v="105.05392260520195"/>
  </r>
  <r>
    <n v="556516"/>
    <d v="2023-03-07T00:00:00"/>
    <x v="4"/>
    <s v="OCT"/>
    <s v="Electronics"/>
    <n v="21"/>
    <n v="23478"/>
    <x v="83"/>
    <x v="0"/>
    <x v="1"/>
    <s v="Fatima Zhang"/>
    <s v="Sales Executive"/>
    <s v="South"/>
    <n v="166.40442270890921"/>
  </r>
  <r>
    <n v="296032"/>
    <d v="2023-11-10T00:00:00"/>
    <x v="6"/>
    <s v="OCT"/>
    <s v="Furniture"/>
    <n v="22"/>
    <n v="24442"/>
    <x v="84"/>
    <x v="3"/>
    <x v="1"/>
    <s v="Joe Lyn"/>
    <s v="Sales Associate"/>
    <s v="Central"/>
    <n v="124.27293064876956"/>
  </r>
  <r>
    <n v="222196"/>
    <d v="2023-11-22T00:00:00"/>
    <x v="4"/>
    <s v="NOV"/>
    <s v="Furniture"/>
    <n v="47"/>
    <n v="76140"/>
    <x v="85"/>
    <x v="0"/>
    <x v="1"/>
    <s v="Fatima Zhang"/>
    <s v="Sales Executive"/>
    <s v="South"/>
    <n v="104.64397135828261"/>
  </r>
  <r>
    <n v="297033"/>
    <d v="2023-05-08T00:00:00"/>
    <x v="7"/>
    <s v="NOV"/>
    <s v="Electronics"/>
    <n v="36"/>
    <n v="37620"/>
    <x v="86"/>
    <x v="4"/>
    <x v="2"/>
    <s v="Christi Davis"/>
    <s v="Ops Manager"/>
    <s v="West"/>
    <n v="121.3235294117647"/>
  </r>
  <r>
    <n v="719040"/>
    <d v="2023-07-13T00:00:00"/>
    <x v="7"/>
    <s v="NOV"/>
    <s v="Furniture"/>
    <n v="43"/>
    <n v="61963"/>
    <x v="87"/>
    <x v="4"/>
    <x v="2"/>
    <s v="Christi Davis"/>
    <s v="Ops Manager"/>
    <s v="West"/>
    <n v="94.144369995593848"/>
  </r>
  <r>
    <n v="819436"/>
    <d v="2023-01-18T00:00:00"/>
    <x v="4"/>
    <s v="NOV"/>
    <s v="Stationery"/>
    <n v="27"/>
    <n v="46899"/>
    <x v="88"/>
    <x v="0"/>
    <x v="1"/>
    <s v="Fatima Zhang"/>
    <s v="Sales Executive"/>
    <s v="South"/>
    <n v="126.23206739698006"/>
  </r>
  <r>
    <n v="972881"/>
    <d v="2023-06-23T00:00:00"/>
    <x v="6"/>
    <s v="NOV"/>
    <s v="Furniture"/>
    <n v="46"/>
    <n v="61364"/>
    <x v="89"/>
    <x v="3"/>
    <x v="1"/>
    <s v="Joe Lyn"/>
    <s v="Sales Associate"/>
    <s v="Central"/>
    <n v="102.6634544602824"/>
  </r>
  <r>
    <n v="783928"/>
    <d v="2023-02-21T00:00:00"/>
    <x v="1"/>
    <s v="DEC"/>
    <s v="Stationery"/>
    <n v="32"/>
    <n v="45760"/>
    <x v="90"/>
    <x v="1"/>
    <x v="1"/>
    <s v="Ronn Robinson"/>
    <s v="Sr. Sales Exec."/>
    <s v="East"/>
    <n v="114.78452816936738"/>
  </r>
  <r>
    <n v="951955"/>
    <d v="2023-02-19T00:00:00"/>
    <x v="1"/>
    <s v="DEC"/>
    <s v="Stationery"/>
    <n v="59"/>
    <n v="93338"/>
    <x v="91"/>
    <x v="1"/>
    <x v="1"/>
    <s v="Ronn Robinson"/>
    <s v="Sr. Sales Exec."/>
    <s v="East"/>
    <n v="99.925059952038367"/>
  </r>
  <r>
    <n v="500635"/>
    <d v="2023-12-05T00:00:00"/>
    <x v="3"/>
    <s v="DEC"/>
    <s v="Stationery"/>
    <n v="39"/>
    <n v="50427"/>
    <x v="92"/>
    <x v="2"/>
    <x v="1"/>
    <s v="Lynda Smith"/>
    <s v="Sales Executive"/>
    <s v="North"/>
    <n v="97.004847645429365"/>
  </r>
  <r>
    <n v="120112"/>
    <d v="2023-06-07T00:00:00"/>
    <x v="4"/>
    <s v="DEC"/>
    <s v="Electronics"/>
    <n v="49"/>
    <n v="71148"/>
    <x v="93"/>
    <x v="0"/>
    <x v="1"/>
    <s v="Fatima Zhang"/>
    <s v="Sales Executive"/>
    <s v="South"/>
    <n v="103.25670498084291"/>
  </r>
  <r>
    <n v="746721"/>
    <d v="2023-07-09T00:00:00"/>
    <x v="5"/>
    <s v="DEC"/>
    <s v="Stationery"/>
    <n v="30"/>
    <n v="50220"/>
    <x v="94"/>
    <x v="1"/>
    <x v="1"/>
    <s v="John Taylor"/>
    <s v="Sales Manager"/>
    <s v="East"/>
    <n v="93.291969311363346"/>
  </r>
  <r>
    <n v="149864"/>
    <d v="2023-12-23T00:00:00"/>
    <x v="4"/>
    <s v="DEC"/>
    <s v="Stationery"/>
    <n v="25"/>
    <n v="45950"/>
    <x v="95"/>
    <x v="0"/>
    <x v="1"/>
    <s v="Fatima Zhang"/>
    <s v="Sales Executive"/>
    <s v="South"/>
    <n v="118.90591036124624"/>
  </r>
  <r>
    <n v="913305"/>
    <d v="2023-09-25T00:00:00"/>
    <x v="6"/>
    <s v="DEC"/>
    <s v="Electronics"/>
    <n v="34"/>
    <n v="62050"/>
    <x v="96"/>
    <x v="3"/>
    <x v="1"/>
    <s v="Joe Lyn"/>
    <s v="Sales Associate"/>
    <s v="Central"/>
    <n v="97.275349595535204"/>
  </r>
  <r>
    <n v="349637"/>
    <d v="2023-01-18T00:00:00"/>
    <x v="3"/>
    <s v="DEC"/>
    <s v="Furniture"/>
    <n v="35"/>
    <n v="52010"/>
    <x v="97"/>
    <x v="2"/>
    <x v="1"/>
    <s v="Lynda Smith"/>
    <s v="Sales Executive"/>
    <s v="North"/>
    <n v="110.67134801574636"/>
  </r>
  <r>
    <n v="112584"/>
    <d v="2023-03-27T00:00:00"/>
    <x v="2"/>
    <s v="DEC"/>
    <s v="Stationery"/>
    <n v="60"/>
    <n v="95340"/>
    <x v="98"/>
    <x v="2"/>
    <x v="0"/>
    <s v="Martina Brands"/>
    <s v="Brand Manager"/>
    <s v="North"/>
    <n v="98.131851165663122"/>
  </r>
  <r>
    <n v="525728"/>
    <d v="2023-12-05T00:00:00"/>
    <x v="2"/>
    <s v="DEC"/>
    <s v="Stationery"/>
    <n v="51"/>
    <n v="71859"/>
    <x v="99"/>
    <x v="2"/>
    <x v="0"/>
    <s v="Martina Brands"/>
    <s v="Brand Manager"/>
    <s v="North"/>
    <n v="98.62342510499300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770265"/>
    <d v="2023-02-22T00:00:00"/>
    <x v="0"/>
    <x v="0"/>
    <s v="Electronics"/>
    <n v="21"/>
    <x v="0"/>
    <n v="37433"/>
    <x v="0"/>
    <s v="Marketing"/>
    <s v="Raj Mehta"/>
    <s v="Marketing Lead"/>
    <x v="0"/>
    <n v="98.680308818422247"/>
    <x v="0"/>
  </r>
  <r>
    <n v="562322"/>
    <d v="2023-10-11T00:00:00"/>
    <x v="1"/>
    <x v="0"/>
    <s v="Electronics"/>
    <n v="26"/>
    <x v="1"/>
    <n v="36857"/>
    <x v="1"/>
    <s v="Sales"/>
    <s v="Ronn Robinson"/>
    <s v="Sr. Sales Exec."/>
    <x v="1"/>
    <n v="119.35860216512467"/>
    <x v="1"/>
  </r>
  <r>
    <n v="897935"/>
    <d v="2023-05-05T00:00:00"/>
    <x v="2"/>
    <x v="0"/>
    <s v="Electronics"/>
    <n v="22"/>
    <x v="2"/>
    <n v="26125"/>
    <x v="2"/>
    <s v="Marketing"/>
    <s v="Martina Brands"/>
    <s v="Brand Manager"/>
    <x v="2"/>
    <n v="86.73684210526315"/>
    <x v="2"/>
  </r>
  <r>
    <n v="531908"/>
    <d v="2023-02-02T00:00:00"/>
    <x v="3"/>
    <x v="0"/>
    <s v="Stationery"/>
    <n v="55"/>
    <x v="3"/>
    <n v="59434"/>
    <x v="2"/>
    <s v="Sales"/>
    <s v="Lynda Smith"/>
    <s v="Sales Executive"/>
    <x v="2"/>
    <n v="111.32516741259212"/>
    <x v="2"/>
  </r>
  <r>
    <n v="208664"/>
    <d v="2023-11-01T00:00:00"/>
    <x v="2"/>
    <x v="0"/>
    <s v="Electronics"/>
    <n v="34"/>
    <x v="4"/>
    <n v="44952"/>
    <x v="2"/>
    <s v="Marketing"/>
    <s v="Martina Brands"/>
    <s v="Brand Manager"/>
    <x v="2"/>
    <n v="110.35326570564156"/>
    <x v="2"/>
  </r>
  <r>
    <n v="690563"/>
    <d v="2023-08-14T00:00:00"/>
    <x v="1"/>
    <x v="0"/>
    <s v="Electronics"/>
    <n v="47"/>
    <x v="5"/>
    <n v="63804"/>
    <x v="1"/>
    <s v="Sales"/>
    <s v="Ronn Robinson"/>
    <s v="Sr. Sales Exec."/>
    <x v="1"/>
    <n v="99.29784966459782"/>
    <x v="1"/>
  </r>
  <r>
    <n v="484790"/>
    <d v="2023-04-01T00:00:00"/>
    <x v="4"/>
    <x v="0"/>
    <s v="Furniture"/>
    <n v="26"/>
    <x v="6"/>
    <n v="27220"/>
    <x v="0"/>
    <s v="Sales"/>
    <s v="Fatima Zhang"/>
    <s v="Sales Executive"/>
    <x v="0"/>
    <n v="104.49669360764145"/>
    <x v="0"/>
  </r>
  <r>
    <n v="424434"/>
    <d v="2023-07-21T00:00:00"/>
    <x v="4"/>
    <x v="0"/>
    <s v="Stationery"/>
    <n v="58"/>
    <x v="7"/>
    <n v="65437"/>
    <x v="0"/>
    <s v="Sales"/>
    <s v="Fatima Zhang"/>
    <s v="Sales Executive"/>
    <x v="0"/>
    <n v="112.56628512920825"/>
    <x v="0"/>
  </r>
  <r>
    <n v="190886"/>
    <d v="2023-12-29T00:00:00"/>
    <x v="5"/>
    <x v="1"/>
    <s v="Stationery"/>
    <n v="54"/>
    <x v="8"/>
    <n v="59657"/>
    <x v="1"/>
    <s v="Sales"/>
    <s v="John Taylor"/>
    <s v="Sales Manager"/>
    <x v="1"/>
    <n v="102.01317531890641"/>
    <x v="1"/>
  </r>
  <r>
    <n v="655665"/>
    <d v="2023-05-04T00:00:00"/>
    <x v="6"/>
    <x v="1"/>
    <s v="Stationery"/>
    <n v="60"/>
    <x v="9"/>
    <n v="88473"/>
    <x v="3"/>
    <s v="Sales"/>
    <s v="Joe Lyn"/>
    <s v="Sales Associate"/>
    <x v="3"/>
    <n v="110.7456512156251"/>
    <x v="3"/>
  </r>
  <r>
    <n v="624861"/>
    <d v="2023-07-25T00:00:00"/>
    <x v="7"/>
    <x v="1"/>
    <s v="Furniture"/>
    <n v="24"/>
    <x v="10"/>
    <n v="19270"/>
    <x v="4"/>
    <s v="Operations"/>
    <s v="Christi Davis"/>
    <s v="Ops Manager"/>
    <x v="4"/>
    <n v="130.27503892060196"/>
    <x v="4"/>
  </r>
  <r>
    <n v="279643"/>
    <d v="2023-02-25T00:00:00"/>
    <x v="0"/>
    <x v="1"/>
    <s v="Furniture"/>
    <n v="34"/>
    <x v="11"/>
    <n v="67504"/>
    <x v="0"/>
    <s v="Marketing"/>
    <s v="Raj Mehta"/>
    <s v="Marketing Lead"/>
    <x v="0"/>
    <n v="95.043256695899501"/>
    <x v="0"/>
  </r>
  <r>
    <n v="915044"/>
    <d v="2023-02-24T00:00:00"/>
    <x v="5"/>
    <x v="1"/>
    <s v="Furniture"/>
    <n v="60"/>
    <x v="12"/>
    <n v="110263"/>
    <x v="1"/>
    <s v="Sales"/>
    <s v="John Taylor"/>
    <s v="Sales Manager"/>
    <x v="1"/>
    <n v="100.88606332133172"/>
    <x v="1"/>
  </r>
  <r>
    <n v="480683"/>
    <d v="2023-08-26T00:00:00"/>
    <x v="4"/>
    <x v="1"/>
    <s v="Stationery"/>
    <n v="33"/>
    <x v="13"/>
    <n v="56264"/>
    <x v="0"/>
    <s v="Sales"/>
    <s v="Fatima Zhang"/>
    <s v="Sales Executive"/>
    <x v="0"/>
    <n v="98.88738802786861"/>
    <x v="0"/>
  </r>
  <r>
    <n v="527151"/>
    <d v="2023-02-13T00:00:00"/>
    <x v="0"/>
    <x v="1"/>
    <s v="Stationery"/>
    <n v="58"/>
    <x v="14"/>
    <n v="97897"/>
    <x v="0"/>
    <s v="Marketing"/>
    <s v="Raj Mehta"/>
    <s v="Marketing Lead"/>
    <x v="0"/>
    <n v="97.755804570109404"/>
    <x v="0"/>
  </r>
  <r>
    <n v="914427"/>
    <d v="2023-06-28T00:00:00"/>
    <x v="7"/>
    <x v="1"/>
    <s v="Stationery"/>
    <n v="30"/>
    <x v="15"/>
    <n v="42974"/>
    <x v="4"/>
    <s v="Operations"/>
    <s v="Christi Davis"/>
    <s v="Ops Manager"/>
    <x v="4"/>
    <n v="102.82961790850283"/>
    <x v="4"/>
  </r>
  <r>
    <n v="457546"/>
    <d v="2023-11-28T00:00:00"/>
    <x v="7"/>
    <x v="1"/>
    <s v="Electronics"/>
    <n v="40"/>
    <x v="16"/>
    <n v="66932"/>
    <x v="4"/>
    <s v="Operations"/>
    <s v="Christi Davis"/>
    <s v="Ops Manager"/>
    <x v="4"/>
    <n v="111.33687922070162"/>
    <x v="4"/>
  </r>
  <r>
    <n v="674613"/>
    <d v="2023-08-25T00:00:00"/>
    <x v="3"/>
    <x v="2"/>
    <s v="Electronics"/>
    <n v="40"/>
    <x v="17"/>
    <n v="57014"/>
    <x v="2"/>
    <s v="Sales"/>
    <s v="Lynda Smith"/>
    <s v="Sales Executive"/>
    <x v="2"/>
    <n v="98.923071526291778"/>
    <x v="2"/>
  </r>
  <r>
    <n v="376752"/>
    <d v="2023-04-12T00:00:00"/>
    <x v="4"/>
    <x v="2"/>
    <s v="Stationery"/>
    <n v="33"/>
    <x v="18"/>
    <n v="51964"/>
    <x v="0"/>
    <s v="Sales"/>
    <s v="Fatima Zhang"/>
    <s v="Sales Executive"/>
    <x v="0"/>
    <n v="106.11769686706181"/>
    <x v="0"/>
  </r>
  <r>
    <n v="476554"/>
    <d v="2023-10-02T00:00:00"/>
    <x v="5"/>
    <x v="2"/>
    <s v="Stationery"/>
    <n v="29"/>
    <x v="19"/>
    <n v="39572"/>
    <x v="1"/>
    <s v="Sales"/>
    <s v="John Taylor"/>
    <s v="Sales Manager"/>
    <x v="1"/>
    <n v="93.144142322854535"/>
    <x v="1"/>
  </r>
  <r>
    <n v="664779"/>
    <d v="2023-11-09T00:00:00"/>
    <x v="6"/>
    <x v="2"/>
    <s v="Furniture"/>
    <n v="57"/>
    <x v="20"/>
    <n v="72257"/>
    <x v="3"/>
    <s v="Sales"/>
    <s v="Joe Lyn"/>
    <s v="Sales Associate"/>
    <x v="3"/>
    <n v="113.43676045227451"/>
    <x v="3"/>
  </r>
  <r>
    <n v="311452"/>
    <d v="2023-02-13T00:00:00"/>
    <x v="4"/>
    <x v="2"/>
    <s v="Electronics"/>
    <n v="34"/>
    <x v="21"/>
    <n v="35446"/>
    <x v="0"/>
    <s v="Sales"/>
    <s v="Fatima Zhang"/>
    <s v="Sales Executive"/>
    <x v="0"/>
    <n v="109.44535349545788"/>
    <x v="0"/>
  </r>
  <r>
    <n v="448445"/>
    <d v="2023-11-02T00:00:00"/>
    <x v="3"/>
    <x v="2"/>
    <s v="Stationery"/>
    <n v="27"/>
    <x v="22"/>
    <n v="25932"/>
    <x v="2"/>
    <s v="Sales"/>
    <s v="Lynda Smith"/>
    <s v="Sales Executive"/>
    <x v="2"/>
    <n v="120.36094400740399"/>
    <x v="2"/>
  </r>
  <r>
    <n v="384298"/>
    <d v="2023-05-28T00:00:00"/>
    <x v="2"/>
    <x v="3"/>
    <s v="Stationery"/>
    <n v="58"/>
    <x v="23"/>
    <n v="60466"/>
    <x v="2"/>
    <s v="Marketing"/>
    <s v="Martina Brands"/>
    <s v="Brand Manager"/>
    <x v="2"/>
    <n v="102.15658386531274"/>
    <x v="2"/>
  </r>
  <r>
    <n v="168453"/>
    <d v="2023-10-15T00:00:00"/>
    <x v="5"/>
    <x v="3"/>
    <s v="Stationery"/>
    <n v="53"/>
    <x v="24"/>
    <n v="62557"/>
    <x v="1"/>
    <s v="Sales"/>
    <s v="John Taylor"/>
    <s v="Sales Manager"/>
    <x v="1"/>
    <n v="106.49647521460427"/>
    <x v="1"/>
  </r>
  <r>
    <n v="985975"/>
    <d v="2023-01-16T00:00:00"/>
    <x v="0"/>
    <x v="3"/>
    <s v="Furniture"/>
    <n v="54"/>
    <x v="25"/>
    <n v="96101"/>
    <x v="0"/>
    <s v="Marketing"/>
    <s v="Raj Mehta"/>
    <s v="Marketing Lead"/>
    <x v="0"/>
    <n v="99.345480275959659"/>
    <x v="0"/>
  </r>
  <r>
    <n v="177349"/>
    <d v="2023-10-09T00:00:00"/>
    <x v="0"/>
    <x v="3"/>
    <s v="Electronics"/>
    <n v="38"/>
    <x v="26"/>
    <n v="57319"/>
    <x v="0"/>
    <s v="Marketing"/>
    <s v="Raj Mehta"/>
    <s v="Marketing Lead"/>
    <x v="0"/>
    <n v="95.797205115232302"/>
    <x v="0"/>
  </r>
  <r>
    <n v="717424"/>
    <d v="2023-10-07T00:00:00"/>
    <x v="6"/>
    <x v="3"/>
    <s v="Electronics"/>
    <n v="52"/>
    <x v="27"/>
    <n v="94633"/>
    <x v="3"/>
    <s v="Sales"/>
    <s v="Joe Lyn"/>
    <s v="Sales Associate"/>
    <x v="3"/>
    <n v="97.809432227658434"/>
    <x v="3"/>
  </r>
  <r>
    <n v="627211"/>
    <d v="2023-02-14T00:00:00"/>
    <x v="6"/>
    <x v="3"/>
    <s v="Electronics"/>
    <n v="60"/>
    <x v="28"/>
    <n v="86163"/>
    <x v="3"/>
    <s v="Sales"/>
    <s v="Joe Lyn"/>
    <s v="Sales Associate"/>
    <x v="3"/>
    <n v="105.77626127223982"/>
    <x v="3"/>
  </r>
  <r>
    <n v="253564"/>
    <d v="2023-03-26T00:00:00"/>
    <x v="4"/>
    <x v="3"/>
    <s v="Electronics"/>
    <n v="30"/>
    <x v="29"/>
    <n v="38803"/>
    <x v="0"/>
    <s v="Sales"/>
    <s v="Fatima Zhang"/>
    <s v="Sales Executive"/>
    <x v="0"/>
    <n v="119.99072236682731"/>
    <x v="0"/>
  </r>
  <r>
    <n v="949565"/>
    <d v="2023-06-15T00:00:00"/>
    <x v="4"/>
    <x v="3"/>
    <s v="Furniture"/>
    <n v="51"/>
    <x v="30"/>
    <n v="55137"/>
    <x v="0"/>
    <s v="Sales"/>
    <s v="Fatima Zhang"/>
    <s v="Sales Executive"/>
    <x v="0"/>
    <n v="94.254311986506337"/>
    <x v="0"/>
  </r>
  <r>
    <n v="756995"/>
    <d v="2023-05-22T00:00:00"/>
    <x v="7"/>
    <x v="3"/>
    <s v="Electronics"/>
    <n v="23"/>
    <x v="31"/>
    <n v="19273"/>
    <x v="4"/>
    <s v="Operations"/>
    <s v="Christi Davis"/>
    <s v="Ops Manager"/>
    <x v="4"/>
    <n v="148.69506563586364"/>
    <x v="4"/>
  </r>
  <r>
    <n v="808505"/>
    <d v="2023-11-20T00:00:00"/>
    <x v="0"/>
    <x v="3"/>
    <s v="Electronics"/>
    <n v="51"/>
    <x v="32"/>
    <n v="97452"/>
    <x v="0"/>
    <s v="Marketing"/>
    <s v="Raj Mehta"/>
    <s v="Marketing Lead"/>
    <x v="0"/>
    <n v="96.031892624061072"/>
    <x v="0"/>
  </r>
  <r>
    <n v="870287"/>
    <d v="2023-12-22T00:00:00"/>
    <x v="1"/>
    <x v="4"/>
    <s v="Furniture"/>
    <n v="50"/>
    <x v="33"/>
    <n v="94443"/>
    <x v="1"/>
    <s v="Sales"/>
    <s v="Ronn Robinson"/>
    <s v="Sr. Sales Exec."/>
    <x v="1"/>
    <n v="104.24277077178827"/>
    <x v="1"/>
  </r>
  <r>
    <n v="646329"/>
    <d v="2023-07-23T00:00:00"/>
    <x v="2"/>
    <x v="4"/>
    <s v="Stationery"/>
    <n v="33"/>
    <x v="34"/>
    <n v="60548"/>
    <x v="2"/>
    <s v="Marketing"/>
    <s v="Martina Brands"/>
    <s v="Brand Manager"/>
    <x v="2"/>
    <n v="106.33381779744995"/>
    <x v="2"/>
  </r>
  <r>
    <n v="236087"/>
    <d v="2023-10-17T00:00:00"/>
    <x v="7"/>
    <x v="4"/>
    <s v="Furniture"/>
    <n v="39"/>
    <x v="35"/>
    <n v="48908"/>
    <x v="4"/>
    <s v="Operations"/>
    <s v="Christi Davis"/>
    <s v="Ops Manager"/>
    <x v="4"/>
    <n v="112.27611024781221"/>
    <x v="4"/>
  </r>
  <r>
    <n v="396076"/>
    <d v="2023-08-22T00:00:00"/>
    <x v="5"/>
    <x v="4"/>
    <s v="Electronics"/>
    <n v="53"/>
    <x v="36"/>
    <n v="80504"/>
    <x v="1"/>
    <s v="Sales"/>
    <s v="John Taylor"/>
    <s v="Sales Manager"/>
    <x v="1"/>
    <n v="96.25111795687171"/>
    <x v="1"/>
  </r>
  <r>
    <n v="669417"/>
    <d v="2023-12-02T00:00:00"/>
    <x v="0"/>
    <x v="4"/>
    <s v="Electronics"/>
    <n v="41"/>
    <x v="37"/>
    <n v="37223"/>
    <x v="0"/>
    <s v="Marketing"/>
    <s v="Raj Mehta"/>
    <s v="Marketing Lead"/>
    <x v="0"/>
    <n v="112.4600381484566"/>
    <x v="0"/>
  </r>
  <r>
    <n v="624149"/>
    <d v="2023-12-25T00:00:00"/>
    <x v="7"/>
    <x v="4"/>
    <s v="Electronics"/>
    <n v="20"/>
    <x v="38"/>
    <n v="14843"/>
    <x v="4"/>
    <s v="Operations"/>
    <s v="Christi Davis"/>
    <s v="Ops Manager"/>
    <x v="4"/>
    <n v="144.44519302027891"/>
    <x v="4"/>
  </r>
  <r>
    <n v="804827"/>
    <d v="2023-09-23T00:00:00"/>
    <x v="7"/>
    <x v="4"/>
    <s v="Electronics"/>
    <n v="24"/>
    <x v="39"/>
    <n v="50734"/>
    <x v="4"/>
    <s v="Operations"/>
    <s v="Christi Davis"/>
    <s v="Ops Manager"/>
    <x v="4"/>
    <n v="91.157803445421209"/>
    <x v="4"/>
  </r>
  <r>
    <n v="428406"/>
    <d v="2023-07-16T00:00:00"/>
    <x v="7"/>
    <x v="4"/>
    <s v="Stationery"/>
    <n v="37"/>
    <x v="40"/>
    <n v="59392"/>
    <x v="4"/>
    <s v="Operations"/>
    <s v="Christi Davis"/>
    <s v="Ops Manager"/>
    <x v="4"/>
    <n v="104.97205010775863"/>
    <x v="4"/>
  </r>
  <r>
    <n v="429678"/>
    <d v="2023-02-05T00:00:00"/>
    <x v="1"/>
    <x v="4"/>
    <s v="Furniture"/>
    <n v="56"/>
    <x v="41"/>
    <n v="86296"/>
    <x v="1"/>
    <s v="Sales"/>
    <s v="Ronn Robinson"/>
    <s v="Sr. Sales Exec."/>
    <x v="1"/>
    <n v="103.17975340687866"/>
    <x v="1"/>
  </r>
  <r>
    <n v="491866"/>
    <d v="2023-12-18T00:00:00"/>
    <x v="2"/>
    <x v="5"/>
    <s v="Furniture"/>
    <n v="32"/>
    <x v="42"/>
    <n v="38484"/>
    <x v="2"/>
    <s v="Marketing"/>
    <s v="Martina Brands"/>
    <s v="Brand Manager"/>
    <x v="2"/>
    <n v="91.133977756989921"/>
    <x v="2"/>
  </r>
  <r>
    <n v="911594"/>
    <d v="2023-06-11T00:00:00"/>
    <x v="4"/>
    <x v="5"/>
    <s v="Electronics"/>
    <n v="47"/>
    <x v="43"/>
    <n v="64089"/>
    <x v="0"/>
    <s v="Sales"/>
    <s v="Fatima Zhang"/>
    <s v="Sales Executive"/>
    <x v="0"/>
    <n v="104.13643526970307"/>
    <x v="0"/>
  </r>
  <r>
    <n v="148280"/>
    <d v="2023-12-04T00:00:00"/>
    <x v="0"/>
    <x v="5"/>
    <s v="Electronics"/>
    <n v="23"/>
    <x v="44"/>
    <n v="25545"/>
    <x v="0"/>
    <s v="Marketing"/>
    <s v="Raj Mehta"/>
    <s v="Marketing Lead"/>
    <x v="0"/>
    <n v="127.13251125464866"/>
    <x v="0"/>
  </r>
  <r>
    <n v="141868"/>
    <d v="2023-07-17T00:00:00"/>
    <x v="7"/>
    <x v="5"/>
    <s v="Electronics"/>
    <n v="32"/>
    <x v="45"/>
    <n v="34422"/>
    <x v="4"/>
    <s v="Operations"/>
    <s v="Christi Davis"/>
    <s v="Ops Manager"/>
    <x v="4"/>
    <n v="110.99877985009587"/>
    <x v="4"/>
  </r>
  <r>
    <n v="961598"/>
    <d v="2023-10-19T00:00:00"/>
    <x v="2"/>
    <x v="5"/>
    <s v="Electronics"/>
    <n v="31"/>
    <x v="46"/>
    <n v="37256"/>
    <x v="2"/>
    <s v="Marketing"/>
    <s v="Martina Brands"/>
    <s v="Brand Manager"/>
    <x v="2"/>
    <n v="106.92237491947606"/>
    <x v="2"/>
  </r>
  <r>
    <n v="404058"/>
    <d v="2023-05-15T00:00:00"/>
    <x v="5"/>
    <x v="5"/>
    <s v="Stationery"/>
    <n v="55"/>
    <x v="47"/>
    <n v="64672"/>
    <x v="1"/>
    <s v="Sales"/>
    <s v="John Taylor"/>
    <s v="Sales Manager"/>
    <x v="1"/>
    <n v="93.548985650667987"/>
    <x v="1"/>
  </r>
  <r>
    <n v="526748"/>
    <d v="2023-02-12T00:00:00"/>
    <x v="3"/>
    <x v="5"/>
    <s v="Electronics"/>
    <n v="25"/>
    <x v="48"/>
    <n v="41354"/>
    <x v="2"/>
    <s v="Sales"/>
    <s v="Lynda Smith"/>
    <s v="Sales Executive"/>
    <x v="2"/>
    <n v="117.7636987957634"/>
    <x v="2"/>
  </r>
  <r>
    <n v="440859"/>
    <d v="2023-10-02T00:00:00"/>
    <x v="2"/>
    <x v="5"/>
    <s v="Electronics"/>
    <n v="51"/>
    <x v="49"/>
    <n v="77590"/>
    <x v="2"/>
    <s v="Marketing"/>
    <s v="Martina Brands"/>
    <s v="Brand Manager"/>
    <x v="2"/>
    <n v="98.069338832323751"/>
    <x v="2"/>
  </r>
  <r>
    <n v="703768"/>
    <d v="2023-01-30T00:00:00"/>
    <x v="1"/>
    <x v="5"/>
    <s v="Furniture"/>
    <n v="44"/>
    <x v="50"/>
    <n v="42692"/>
    <x v="1"/>
    <s v="Sales"/>
    <s v="Ronn Robinson"/>
    <s v="Sr. Sales Exec."/>
    <x v="1"/>
    <n v="103.26993347699802"/>
    <x v="1"/>
  </r>
  <r>
    <n v="715404"/>
    <d v="2023-12-29T00:00:00"/>
    <x v="6"/>
    <x v="6"/>
    <s v="Stationery"/>
    <n v="47"/>
    <x v="51"/>
    <n v="73543"/>
    <x v="3"/>
    <s v="Sales"/>
    <s v="Joe Lyn"/>
    <s v="Sales Associate"/>
    <x v="3"/>
    <n v="109.47472907006785"/>
    <x v="3"/>
  </r>
  <r>
    <n v="321701"/>
    <d v="2023-03-06T00:00:00"/>
    <x v="5"/>
    <x v="6"/>
    <s v="Electronics"/>
    <n v="29"/>
    <x v="52"/>
    <n v="34765"/>
    <x v="1"/>
    <s v="Sales"/>
    <s v="John Taylor"/>
    <s v="Sales Manager"/>
    <x v="1"/>
    <n v="99.600172587372356"/>
    <x v="1"/>
  </r>
  <r>
    <n v="638856"/>
    <d v="2023-02-02T00:00:00"/>
    <x v="3"/>
    <x v="6"/>
    <s v="Furniture"/>
    <n v="40"/>
    <x v="53"/>
    <n v="46499"/>
    <x v="2"/>
    <s v="Sales"/>
    <s v="Lynda Smith"/>
    <s v="Sales Executive"/>
    <x v="2"/>
    <n v="91.012709950751628"/>
    <x v="2"/>
  </r>
  <r>
    <n v="443925"/>
    <d v="2023-10-18T00:00:00"/>
    <x v="1"/>
    <x v="6"/>
    <s v="Electronics"/>
    <n v="23"/>
    <x v="54"/>
    <n v="42289"/>
    <x v="1"/>
    <s v="Sales"/>
    <s v="Ronn Robinson"/>
    <s v="Sr. Sales Exec."/>
    <x v="1"/>
    <n v="107.85074132753198"/>
    <x v="1"/>
  </r>
  <r>
    <n v="122220"/>
    <d v="2023-01-07T00:00:00"/>
    <x v="0"/>
    <x v="6"/>
    <s v="Furniture"/>
    <n v="58"/>
    <x v="55"/>
    <n v="55940"/>
    <x v="0"/>
    <s v="Marketing"/>
    <s v="Raj Mehta"/>
    <s v="Marketing Lead"/>
    <x v="0"/>
    <n v="110.83661065427243"/>
    <x v="0"/>
  </r>
  <r>
    <n v="701178"/>
    <d v="2023-05-08T00:00:00"/>
    <x v="0"/>
    <x v="6"/>
    <s v="Electronics"/>
    <n v="56"/>
    <x v="56"/>
    <n v="65627"/>
    <x v="0"/>
    <s v="Marketing"/>
    <s v="Raj Mehta"/>
    <s v="Marketing Lead"/>
    <x v="0"/>
    <n v="106.83407743763999"/>
    <x v="0"/>
  </r>
  <r>
    <n v="626979"/>
    <d v="2023-04-02T00:00:00"/>
    <x v="0"/>
    <x v="6"/>
    <s v="Stationery"/>
    <n v="46"/>
    <x v="57"/>
    <n v="72396"/>
    <x v="0"/>
    <s v="Marketing"/>
    <s v="Raj Mehta"/>
    <s v="Marketing Lead"/>
    <x v="0"/>
    <n v="106.30145311895684"/>
    <x v="0"/>
  </r>
  <r>
    <n v="879135"/>
    <d v="2023-10-11T00:00:00"/>
    <x v="4"/>
    <x v="6"/>
    <s v="Furniture"/>
    <n v="36"/>
    <x v="58"/>
    <n v="37552"/>
    <x v="0"/>
    <s v="Sales"/>
    <s v="Fatima Zhang"/>
    <s v="Sales Executive"/>
    <x v="0"/>
    <n v="115.90328078397955"/>
    <x v="0"/>
  </r>
  <r>
    <n v="853549"/>
    <d v="2023-09-10T00:00:00"/>
    <x v="7"/>
    <x v="6"/>
    <s v="Stationery"/>
    <n v="36"/>
    <x v="59"/>
    <n v="53436"/>
    <x v="4"/>
    <s v="Operations"/>
    <s v="Christi Davis"/>
    <s v="Ops Manager"/>
    <x v="4"/>
    <n v="94.655288569503711"/>
    <x v="4"/>
  </r>
  <r>
    <n v="622476"/>
    <d v="2023-11-22T00:00:00"/>
    <x v="6"/>
    <x v="6"/>
    <s v="Electronics"/>
    <n v="49"/>
    <x v="60"/>
    <n v="57509"/>
    <x v="3"/>
    <s v="Sales"/>
    <s v="Joe Lyn"/>
    <s v="Sales Associate"/>
    <x v="3"/>
    <n v="112.72496478812013"/>
    <x v="3"/>
  </r>
  <r>
    <n v="558080"/>
    <d v="2023-05-02T00:00:00"/>
    <x v="5"/>
    <x v="6"/>
    <s v="Stationery"/>
    <n v="59"/>
    <x v="61"/>
    <n v="96346"/>
    <x v="1"/>
    <s v="Sales"/>
    <s v="John Taylor"/>
    <s v="Sales Manager"/>
    <x v="1"/>
    <n v="96.510493429929639"/>
    <x v="1"/>
  </r>
  <r>
    <n v="705811"/>
    <d v="2023-12-25T00:00:00"/>
    <x v="7"/>
    <x v="6"/>
    <s v="Electronics"/>
    <n v="52"/>
    <x v="62"/>
    <n v="68922"/>
    <x v="4"/>
    <s v="Operations"/>
    <s v="Christi Davis"/>
    <s v="Ops Manager"/>
    <x v="4"/>
    <n v="95.893909056614717"/>
    <x v="4"/>
  </r>
  <r>
    <n v="614942"/>
    <d v="2023-10-18T00:00:00"/>
    <x v="7"/>
    <x v="7"/>
    <s v="Stationery"/>
    <n v="43"/>
    <x v="63"/>
    <n v="57929"/>
    <x v="4"/>
    <s v="Operations"/>
    <s v="Christi Davis"/>
    <s v="Ops Manager"/>
    <x v="4"/>
    <n v="95.829377341228053"/>
    <x v="4"/>
  </r>
  <r>
    <n v="411338"/>
    <d v="2023-05-20T00:00:00"/>
    <x v="6"/>
    <x v="7"/>
    <s v="Electronics"/>
    <n v="59"/>
    <x v="64"/>
    <n v="102020"/>
    <x v="3"/>
    <s v="Sales"/>
    <s v="Joe Lyn"/>
    <s v="Sales Associate"/>
    <x v="3"/>
    <n v="105.60086257596551"/>
    <x v="3"/>
  </r>
  <r>
    <n v="773919"/>
    <d v="2023-07-28T00:00:00"/>
    <x v="6"/>
    <x v="7"/>
    <s v="Furniture"/>
    <n v="26"/>
    <x v="65"/>
    <n v="41599"/>
    <x v="3"/>
    <s v="Sales"/>
    <s v="Joe Lyn"/>
    <s v="Sales Associate"/>
    <x v="3"/>
    <n v="122.56544628476647"/>
    <x v="3"/>
  </r>
  <r>
    <n v="972584"/>
    <d v="2023-12-18T00:00:00"/>
    <x v="0"/>
    <x v="7"/>
    <s v="Furniture"/>
    <n v="26"/>
    <x v="66"/>
    <n v="41696"/>
    <x v="0"/>
    <s v="Marketing"/>
    <s v="Raj Mehta"/>
    <s v="Marketing Lead"/>
    <x v="0"/>
    <n v="109.74673829623944"/>
    <x v="0"/>
  </r>
  <r>
    <n v="375513"/>
    <d v="2023-07-02T00:00:00"/>
    <x v="6"/>
    <x v="7"/>
    <s v="Electronics"/>
    <n v="58"/>
    <x v="67"/>
    <n v="63713"/>
    <x v="3"/>
    <s v="Sales"/>
    <s v="Joe Lyn"/>
    <s v="Sales Associate"/>
    <x v="3"/>
    <n v="110.60537096040055"/>
    <x v="3"/>
  </r>
  <r>
    <n v="171074"/>
    <d v="2023-10-09T00:00:00"/>
    <x v="6"/>
    <x v="7"/>
    <s v="Electronics"/>
    <n v="52"/>
    <x v="68"/>
    <n v="78886"/>
    <x v="3"/>
    <s v="Sales"/>
    <s v="Joe Lyn"/>
    <s v="Sales Associate"/>
    <x v="3"/>
    <n v="98.876860279390513"/>
    <x v="3"/>
  </r>
  <r>
    <n v="658474"/>
    <d v="2023-12-18T00:00:00"/>
    <x v="2"/>
    <x v="7"/>
    <s v="Electronics"/>
    <n v="37"/>
    <x v="69"/>
    <n v="43607"/>
    <x v="2"/>
    <s v="Marketing"/>
    <s v="Martina Brands"/>
    <s v="Brand Manager"/>
    <x v="2"/>
    <n v="88.666957139908732"/>
    <x v="2"/>
  </r>
  <r>
    <n v="136884"/>
    <d v="2023-03-07T00:00:00"/>
    <x v="6"/>
    <x v="7"/>
    <s v="Stationery"/>
    <n v="30"/>
    <x v="70"/>
    <n v="50531"/>
    <x v="3"/>
    <s v="Sales"/>
    <s v="Joe Lyn"/>
    <s v="Sales Associate"/>
    <x v="3"/>
    <n v="104.43094338129069"/>
    <x v="3"/>
  </r>
  <r>
    <n v="347309"/>
    <d v="2023-07-22T00:00:00"/>
    <x v="2"/>
    <x v="7"/>
    <s v="Stationery"/>
    <n v="55"/>
    <x v="71"/>
    <n v="58663"/>
    <x v="2"/>
    <s v="Marketing"/>
    <s v="Martina Brands"/>
    <s v="Brand Manager"/>
    <x v="2"/>
    <n v="94.599662478904932"/>
    <x v="2"/>
  </r>
  <r>
    <n v="861040"/>
    <d v="2023-01-18T00:00:00"/>
    <x v="1"/>
    <x v="7"/>
    <s v="Stationery"/>
    <n v="54"/>
    <x v="72"/>
    <n v="47270"/>
    <x v="1"/>
    <s v="Sales"/>
    <s v="Ronn Robinson"/>
    <s v="Sr. Sales Exec."/>
    <x v="1"/>
    <n v="118.34990480220013"/>
    <x v="1"/>
  </r>
  <r>
    <n v="757259"/>
    <d v="2023-05-24T00:00:00"/>
    <x v="1"/>
    <x v="7"/>
    <s v="Furniture"/>
    <n v="47"/>
    <x v="73"/>
    <n v="57425"/>
    <x v="1"/>
    <s v="Sales"/>
    <s v="Ronn Robinson"/>
    <s v="Sr. Sales Exec."/>
    <x v="1"/>
    <n v="92.48585111014367"/>
    <x v="1"/>
  </r>
  <r>
    <n v="616139"/>
    <d v="2023-09-03T00:00:00"/>
    <x v="3"/>
    <x v="8"/>
    <s v="Stationery"/>
    <n v="42"/>
    <x v="74"/>
    <n v="44856"/>
    <x v="2"/>
    <s v="Sales"/>
    <s v="Lynda Smith"/>
    <s v="Sales Executive"/>
    <x v="2"/>
    <n v="113.76404494382022"/>
    <x v="2"/>
  </r>
  <r>
    <n v="310196"/>
    <d v="2023-11-02T00:00:00"/>
    <x v="0"/>
    <x v="8"/>
    <s v="Stationery"/>
    <n v="42"/>
    <x v="75"/>
    <n v="71343"/>
    <x v="0"/>
    <s v="Marketing"/>
    <s v="Raj Mehta"/>
    <s v="Marketing Lead"/>
    <x v="0"/>
    <n v="105.84920735040579"/>
    <x v="0"/>
  </r>
  <r>
    <n v="855931"/>
    <d v="2023-12-03T00:00:00"/>
    <x v="1"/>
    <x v="8"/>
    <s v="Furniture"/>
    <n v="35"/>
    <x v="76"/>
    <n v="68313"/>
    <x v="1"/>
    <s v="Sales"/>
    <s v="Ronn Robinson"/>
    <s v="Sr. Sales Exec."/>
    <x v="1"/>
    <n v="96.577518188338971"/>
    <x v="1"/>
  </r>
  <r>
    <n v="659392"/>
    <d v="2023-04-01T00:00:00"/>
    <x v="3"/>
    <x v="8"/>
    <s v="Stationery"/>
    <n v="31"/>
    <x v="77"/>
    <n v="53932"/>
    <x v="2"/>
    <s v="Sales"/>
    <s v="Lynda Smith"/>
    <s v="Sales Executive"/>
    <x v="2"/>
    <n v="100.81955054513089"/>
    <x v="2"/>
  </r>
  <r>
    <n v="509306"/>
    <d v="2023-10-16T00:00:00"/>
    <x v="7"/>
    <x v="8"/>
    <s v="Electronics"/>
    <n v="37"/>
    <x v="78"/>
    <n v="35131"/>
    <x v="4"/>
    <s v="Operations"/>
    <s v="Christi Davis"/>
    <s v="Ops Manager"/>
    <x v="4"/>
    <n v="122.48726196236942"/>
    <x v="4"/>
  </r>
  <r>
    <n v="818214"/>
    <d v="2023-11-05T00:00:00"/>
    <x v="2"/>
    <x v="9"/>
    <s v="Electronics"/>
    <n v="22"/>
    <x v="79"/>
    <n v="38627"/>
    <x v="2"/>
    <s v="Marketing"/>
    <s v="Martina Brands"/>
    <s v="Brand Manager"/>
    <x v="2"/>
    <n v="107.01840681388666"/>
    <x v="2"/>
  </r>
  <r>
    <n v="667432"/>
    <d v="2023-06-15T00:00:00"/>
    <x v="5"/>
    <x v="9"/>
    <s v="Electronics"/>
    <n v="42"/>
    <x v="80"/>
    <n v="46661"/>
    <x v="1"/>
    <s v="Sales"/>
    <s v="John Taylor"/>
    <s v="Sales Manager"/>
    <x v="1"/>
    <n v="118.09434002700327"/>
    <x v="1"/>
  </r>
  <r>
    <n v="572637"/>
    <d v="2023-10-28T00:00:00"/>
    <x v="3"/>
    <x v="9"/>
    <s v="Electronics"/>
    <n v="32"/>
    <x v="81"/>
    <n v="44678"/>
    <x v="2"/>
    <s v="Sales"/>
    <s v="Lynda Smith"/>
    <s v="Sales Executive"/>
    <x v="2"/>
    <n v="100.84605398630198"/>
    <x v="2"/>
  </r>
  <r>
    <n v="889905"/>
    <d v="2023-12-22T00:00:00"/>
    <x v="6"/>
    <x v="9"/>
    <s v="Stationery"/>
    <n v="42"/>
    <x v="82"/>
    <n v="66206"/>
    <x v="3"/>
    <s v="Sales"/>
    <s v="Joe Lyn"/>
    <s v="Sales Associate"/>
    <x v="3"/>
    <n v="105.05392260520195"/>
    <x v="3"/>
  </r>
  <r>
    <n v="556516"/>
    <d v="2023-03-07T00:00:00"/>
    <x v="4"/>
    <x v="9"/>
    <s v="Electronics"/>
    <n v="21"/>
    <x v="83"/>
    <n v="14109"/>
    <x v="0"/>
    <s v="Sales"/>
    <s v="Fatima Zhang"/>
    <s v="Sales Executive"/>
    <x v="0"/>
    <n v="166.40442270890921"/>
    <x v="0"/>
  </r>
  <r>
    <n v="296032"/>
    <d v="2023-11-10T00:00:00"/>
    <x v="6"/>
    <x v="9"/>
    <s v="Furniture"/>
    <n v="22"/>
    <x v="84"/>
    <n v="19668"/>
    <x v="3"/>
    <s v="Sales"/>
    <s v="Joe Lyn"/>
    <s v="Sales Associate"/>
    <x v="3"/>
    <n v="124.27293064876956"/>
    <x v="3"/>
  </r>
  <r>
    <n v="222196"/>
    <d v="2023-11-22T00:00:00"/>
    <x v="4"/>
    <x v="10"/>
    <s v="Furniture"/>
    <n v="47"/>
    <x v="85"/>
    <n v="72761"/>
    <x v="0"/>
    <s v="Sales"/>
    <s v="Fatima Zhang"/>
    <s v="Sales Executive"/>
    <x v="0"/>
    <n v="104.64397135828261"/>
    <x v="0"/>
  </r>
  <r>
    <n v="297033"/>
    <d v="2023-05-08T00:00:00"/>
    <x v="7"/>
    <x v="10"/>
    <s v="Electronics"/>
    <n v="36"/>
    <x v="86"/>
    <n v="31008"/>
    <x v="4"/>
    <s v="Operations"/>
    <s v="Christi Davis"/>
    <s v="Ops Manager"/>
    <x v="4"/>
    <n v="121.3235294117647"/>
    <x v="4"/>
  </r>
  <r>
    <n v="719040"/>
    <d v="2023-07-13T00:00:00"/>
    <x v="7"/>
    <x v="10"/>
    <s v="Furniture"/>
    <n v="43"/>
    <x v="87"/>
    <n v="65817"/>
    <x v="4"/>
    <s v="Operations"/>
    <s v="Christi Davis"/>
    <s v="Ops Manager"/>
    <x v="4"/>
    <n v="94.144369995593848"/>
    <x v="4"/>
  </r>
  <r>
    <n v="819436"/>
    <d v="2023-01-18T00:00:00"/>
    <x v="4"/>
    <x v="10"/>
    <s v="Stationery"/>
    <n v="27"/>
    <x v="88"/>
    <n v="37153"/>
    <x v="0"/>
    <s v="Sales"/>
    <s v="Fatima Zhang"/>
    <s v="Sales Executive"/>
    <x v="0"/>
    <n v="126.23206739698006"/>
    <x v="0"/>
  </r>
  <r>
    <n v="972881"/>
    <d v="2023-06-23T00:00:00"/>
    <x v="6"/>
    <x v="10"/>
    <s v="Furniture"/>
    <n v="46"/>
    <x v="89"/>
    <n v="59772"/>
    <x v="3"/>
    <s v="Sales"/>
    <s v="Joe Lyn"/>
    <s v="Sales Associate"/>
    <x v="3"/>
    <n v="102.6634544602824"/>
    <x v="3"/>
  </r>
  <r>
    <n v="783928"/>
    <d v="2023-02-21T00:00:00"/>
    <x v="1"/>
    <x v="11"/>
    <s v="Stationery"/>
    <n v="32"/>
    <x v="66"/>
    <n v="39866"/>
    <x v="1"/>
    <s v="Sales"/>
    <s v="Ronn Robinson"/>
    <s v="Sr. Sales Exec."/>
    <x v="1"/>
    <n v="114.78452816936738"/>
    <x v="1"/>
  </r>
  <r>
    <n v="951955"/>
    <d v="2023-02-19T00:00:00"/>
    <x v="1"/>
    <x v="11"/>
    <s v="Stationery"/>
    <n v="59"/>
    <x v="90"/>
    <n v="93408"/>
    <x v="1"/>
    <s v="Sales"/>
    <s v="Ronn Robinson"/>
    <s v="Sr. Sales Exec."/>
    <x v="1"/>
    <n v="99.925059952038367"/>
    <x v="1"/>
  </r>
  <r>
    <n v="500635"/>
    <d v="2023-12-05T00:00:00"/>
    <x v="3"/>
    <x v="11"/>
    <s v="Stationery"/>
    <n v="39"/>
    <x v="91"/>
    <n v="51984"/>
    <x v="2"/>
    <s v="Sales"/>
    <s v="Lynda Smith"/>
    <s v="Sales Executive"/>
    <x v="2"/>
    <n v="97.004847645429365"/>
    <x v="2"/>
  </r>
  <r>
    <n v="120112"/>
    <d v="2023-06-07T00:00:00"/>
    <x v="4"/>
    <x v="11"/>
    <s v="Electronics"/>
    <n v="49"/>
    <x v="92"/>
    <n v="68904"/>
    <x v="0"/>
    <s v="Sales"/>
    <s v="Fatima Zhang"/>
    <s v="Sales Executive"/>
    <x v="0"/>
    <n v="103.25670498084291"/>
    <x v="0"/>
  </r>
  <r>
    <n v="746721"/>
    <d v="2023-07-09T00:00:00"/>
    <x v="5"/>
    <x v="11"/>
    <s v="Stationery"/>
    <n v="30"/>
    <x v="93"/>
    <n v="53831"/>
    <x v="1"/>
    <s v="Sales"/>
    <s v="John Taylor"/>
    <s v="Sales Manager"/>
    <x v="1"/>
    <n v="93.291969311363346"/>
    <x v="1"/>
  </r>
  <r>
    <n v="149864"/>
    <d v="2023-12-23T00:00:00"/>
    <x v="4"/>
    <x v="11"/>
    <s v="Stationery"/>
    <n v="25"/>
    <x v="94"/>
    <n v="38644"/>
    <x v="0"/>
    <s v="Sales"/>
    <s v="Fatima Zhang"/>
    <s v="Sales Executive"/>
    <x v="0"/>
    <n v="118.90591036124624"/>
    <x v="0"/>
  </r>
  <r>
    <n v="913305"/>
    <d v="2023-09-25T00:00:00"/>
    <x v="6"/>
    <x v="11"/>
    <s v="Electronics"/>
    <n v="34"/>
    <x v="95"/>
    <n v="63788"/>
    <x v="3"/>
    <s v="Sales"/>
    <s v="Joe Lyn"/>
    <s v="Sales Associate"/>
    <x v="3"/>
    <n v="97.275349595535204"/>
    <x v="3"/>
  </r>
  <r>
    <n v="349637"/>
    <d v="2023-01-18T00:00:00"/>
    <x v="3"/>
    <x v="11"/>
    <s v="Furniture"/>
    <n v="35"/>
    <x v="96"/>
    <n v="46995"/>
    <x v="2"/>
    <s v="Sales"/>
    <s v="Lynda Smith"/>
    <s v="Sales Executive"/>
    <x v="2"/>
    <n v="110.67134801574636"/>
    <x v="2"/>
  </r>
  <r>
    <n v="112584"/>
    <d v="2023-03-27T00:00:00"/>
    <x v="2"/>
    <x v="11"/>
    <s v="Stationery"/>
    <n v="60"/>
    <x v="97"/>
    <n v="97155"/>
    <x v="2"/>
    <s v="Marketing"/>
    <s v="Martina Brands"/>
    <s v="Brand Manager"/>
    <x v="2"/>
    <n v="98.131851165663122"/>
    <x v="2"/>
  </r>
  <r>
    <n v="525728"/>
    <d v="2023-12-05T00:00:00"/>
    <x v="2"/>
    <x v="11"/>
    <s v="Stationery"/>
    <n v="51"/>
    <x v="98"/>
    <n v="72862"/>
    <x v="2"/>
    <s v="Marketing"/>
    <s v="Martina Brands"/>
    <s v="Brand Manager"/>
    <x v="2"/>
    <n v="98.62342510499300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17683F-830C-4536-ACFA-A4097CF4F2CB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2" firstHeaderRow="1" firstDataRow="1" firstDataCol="1"/>
  <pivotFields count="9">
    <pivotField showAll="0"/>
    <pivotField numFmtId="14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axis="axisRow" multipleItemSelectionAllowed="1" showAll="0">
      <items count="6">
        <item x="3"/>
        <item x="1"/>
        <item x="2"/>
        <item x="0"/>
        <item x="4"/>
        <item t="default"/>
      </items>
    </pivotField>
  </pivotFields>
  <rowFields count="2">
    <field x="8"/>
    <field x="4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 of Revenue" fld="6" baseField="0" baseItem="0"/>
  </dataFields>
  <pivotTableStyleInfo name="PivotStyleMedium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27A21-F873-4A1A-9879-73F398220987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3" firstHeaderRow="1" firstDataRow="1" firstDataCol="1" rowPageCount="2" colPageCount="1"/>
  <pivotFields count="12">
    <pivotField showAll="0"/>
    <pivotField numFmtId="14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axis="axisRow" showAll="0">
      <items count="9">
        <item x="3"/>
        <item x="0"/>
        <item x="1"/>
        <item x="7"/>
        <item x="6"/>
        <item x="4"/>
        <item x="2"/>
        <item x="5"/>
        <item t="default"/>
      </items>
    </pivotField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multipleItemSelectionAllowed="1" showAll="0"/>
    <pivotField dataField="1" showAll="0"/>
    <pivotField showAll="0"/>
    <pivotField showAll="0"/>
    <pivotField showAll="0"/>
    <pivotField axis="axisPage" multipleItemSelectionAllowed="1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3" hier="-1"/>
    <pageField fld="9" hier="-1"/>
  </pageFields>
  <dataFields count="1">
    <dataField name="Average of Units Sold" fld="5" subtotal="average" baseField="0" baseItem="0" numFmtId="165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93D6D1-0FEC-4053-AF95-9496EA37ACC3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8" firstHeaderRow="1" firstDataRow="1" firstDataCol="1"/>
  <pivotFields count="12">
    <pivotField dataField="1" showAll="0"/>
    <pivotField numFmtId="14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1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Transaction ID" fld="0" baseField="0" baseItem="0"/>
  </dataField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676DA-01CE-41B2-A0CF-8F809025E088}" name="PivotTable4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2" firstHeaderRow="1" firstDataRow="1" firstDataCol="1"/>
  <pivotFields count="12">
    <pivotField showAll="0"/>
    <pivotField numFmtId="14" showAll="0"/>
    <pivotField dataField="1" showAll="0">
      <items count="9">
        <item x="3"/>
        <item x="0"/>
        <item x="1"/>
        <item x="7"/>
        <item x="6"/>
        <item x="4"/>
        <item x="2"/>
        <item x="5"/>
        <item t="default"/>
      </items>
    </pivotField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Employee ID" fld="2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EEA57-402F-460D-B4F5-695D8FEA25E1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0" firstHeaderRow="1" firstDataRow="1" firstDataCol="1"/>
  <pivotFields count="11">
    <pivotField showAll="0"/>
    <pivotField numFmtId="14" showAll="0"/>
    <pivotField axis="axisRow" showAll="0" sortType="descending">
      <items count="9">
        <item x="3"/>
        <item x="0"/>
        <item x="1"/>
        <item x="7"/>
        <item x="6"/>
        <item x="4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9">
    <i>
      <x v="4"/>
    </i>
    <i>
      <x v="3"/>
    </i>
    <i>
      <x v="5"/>
    </i>
    <i>
      <x v="1"/>
    </i>
    <i>
      <x v="6"/>
    </i>
    <i>
      <x v="2"/>
    </i>
    <i>
      <x v="7"/>
    </i>
    <i>
      <x/>
    </i>
    <i t="grand">
      <x/>
    </i>
  </rowItems>
  <colItems count="1">
    <i/>
  </colItems>
  <dataFields count="1">
    <dataField name="Count of Units Sold" fld="5" subtotal="count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37917-3ACD-4674-A2F0-0640D7F6F798}" name="PivotTable5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0" firstHeaderRow="0" firstDataRow="1" firstDataCol="1"/>
  <pivotFields count="14">
    <pivotField showAll="0"/>
    <pivotField numFmtId="14" showAll="0"/>
    <pivotField axis="axisRow" showAll="0">
      <items count="9">
        <item x="3"/>
        <item x="0"/>
        <item x="1"/>
        <item x="7"/>
        <item x="6"/>
        <item x="4"/>
        <item x="2"/>
        <item x="5"/>
        <item t="default"/>
      </items>
    </pivotField>
    <pivotField showAll="0"/>
    <pivotField showAll="0"/>
    <pivotField showAll="0"/>
    <pivotField dataField="1" showAll="0"/>
    <pivotField dataField="1" showAll="0">
      <items count="101">
        <item x="83"/>
        <item x="38"/>
        <item x="10"/>
        <item x="31"/>
        <item x="84"/>
        <item x="44"/>
        <item x="22"/>
        <item x="2"/>
        <item x="6"/>
        <item x="86"/>
        <item x="45"/>
        <item x="52"/>
        <item x="78"/>
        <item x="21"/>
        <item x="1"/>
        <item x="88"/>
        <item x="37"/>
        <item x="46"/>
        <item x="0"/>
        <item x="58"/>
        <item x="42"/>
        <item x="79"/>
        <item x="95"/>
        <item x="29"/>
        <item x="19"/>
        <item x="90"/>
        <item x="48"/>
        <item x="65"/>
        <item x="66"/>
        <item x="54"/>
        <item x="50"/>
        <item x="15"/>
        <item x="69"/>
        <item x="81"/>
        <item x="74"/>
        <item x="4"/>
        <item x="53"/>
        <item x="80"/>
        <item x="97"/>
        <item x="72"/>
        <item x="35"/>
        <item x="70"/>
        <item x="39"/>
        <item x="18"/>
        <item x="92"/>
        <item x="59"/>
        <item x="94"/>
        <item x="77"/>
        <item x="30"/>
        <item x="55"/>
        <item x="13"/>
        <item x="17"/>
        <item x="26"/>
        <item x="73"/>
        <item x="60"/>
        <item x="63"/>
        <item x="71"/>
        <item x="40"/>
        <item x="3"/>
        <item x="8"/>
        <item x="89"/>
        <item x="23"/>
        <item x="34"/>
        <item x="24"/>
        <item x="67"/>
        <item x="96"/>
        <item x="5"/>
        <item x="43"/>
        <item x="47"/>
        <item x="7"/>
        <item x="56"/>
        <item x="87"/>
        <item x="82"/>
        <item x="16"/>
        <item x="11"/>
        <item x="76"/>
        <item x="93"/>
        <item x="62"/>
        <item x="75"/>
        <item x="20"/>
        <item x="57"/>
        <item x="85"/>
        <item x="99"/>
        <item x="51"/>
        <item x="49"/>
        <item x="68"/>
        <item x="36"/>
        <item x="28"/>
        <item x="41"/>
        <item x="9"/>
        <item x="91"/>
        <item x="33"/>
        <item x="27"/>
        <item x="25"/>
        <item x="61"/>
        <item x="98"/>
        <item x="32"/>
        <item x="14"/>
        <item x="64"/>
        <item x="12"/>
        <item t="default"/>
      </items>
    </pivotField>
    <pivotField showAll="0"/>
    <pivotField showAll="0"/>
    <pivotField showAll="0"/>
    <pivotField showAll="0"/>
    <pivotField showAll="0"/>
    <pivotField numFmtId="2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Sum of Target" fld="7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7BA785-F3C9-4777-A43D-71445F9B9D47}" name="PivotTable6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7" firstHeaderRow="1" firstDataRow="1" firstDataCol="1"/>
  <pivotFields count="14">
    <pivotField showAll="0"/>
    <pivotField numFmtId="14" showAll="0"/>
    <pivotField showAll="0">
      <items count="9">
        <item x="3"/>
        <item x="0"/>
        <item x="1"/>
        <item x="7"/>
        <item x="6"/>
        <item x="4"/>
        <item x="2"/>
        <item x="5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numFmtId="2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F8D5A7-8229-4EC8-B6DC-B7942A487049}" name="PivotTable5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31" firstHeaderRow="1" firstDataRow="1" firstDataCol="1"/>
  <pivotFields count="15">
    <pivotField showAll="0"/>
    <pivotField numFmtId="14" showAll="0"/>
    <pivotField axis="axisRow" showAll="0" measureFilter="1" sortType="descending">
      <items count="9">
        <item sd="0" x="3"/>
        <item sd="0" x="0"/>
        <item sd="0" x="1"/>
        <item sd="0" x="7"/>
        <item x="6"/>
        <item sd="0" x="4"/>
        <item sd="0" x="2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2" showAll="0"/>
    <pivotField axis="axisRow" showAll="0">
      <items count="6">
        <item x="3"/>
        <item x="1"/>
        <item x="4"/>
        <item x="0"/>
        <item x="2"/>
        <item t="default"/>
      </items>
    </pivotField>
  </pivotFields>
  <rowFields count="3">
    <field x="2"/>
    <field x="3"/>
    <field x="14"/>
  </rowFields>
  <rowItems count="18">
    <i>
      <x v="4"/>
    </i>
    <i r="1">
      <x v="1"/>
    </i>
    <i r="2">
      <x/>
    </i>
    <i r="1">
      <x v="2"/>
    </i>
    <i r="2">
      <x/>
    </i>
    <i r="1">
      <x v="3"/>
    </i>
    <i r="2">
      <x/>
    </i>
    <i r="1">
      <x v="6"/>
    </i>
    <i r="2">
      <x/>
    </i>
    <i r="1">
      <x v="7"/>
    </i>
    <i r="2">
      <x/>
    </i>
    <i r="1">
      <x v="9"/>
    </i>
    <i r="2">
      <x/>
    </i>
    <i r="1">
      <x v="10"/>
    </i>
    <i r="2">
      <x/>
    </i>
    <i r="1">
      <x v="11"/>
    </i>
    <i r="2">
      <x/>
    </i>
    <i t="grand">
      <x/>
    </i>
  </rowItems>
  <colItems count="1">
    <i/>
  </colItems>
  <dataFields count="1">
    <dataField name="Sum of Revenue" fld="6" baseField="2" baseItem="6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29C0F1-D911-4062-B6D0-282FC0BE8A0B}" name="Table4" displayName="Table4" ref="A3:K18" totalsRowShown="0">
  <autoFilter ref="A3:K18" xr:uid="{CA29C0F1-D911-4062-B6D0-282FC0BE8A0B}"/>
  <tableColumns count="11">
    <tableColumn id="1" xr3:uid="{E34C632C-D9D1-4DB5-9B42-DEEABFC9EF47}" name="Transaction ID"/>
    <tableColumn id="2" xr3:uid="{A949C71C-51FF-4CAD-8C0F-C063047114AA}" name="Sale Date" dataDxfId="1"/>
    <tableColumn id="3" xr3:uid="{A83BC6D6-4629-4FD5-BA4A-ECEB413CC93C}" name="Employee ID"/>
    <tableColumn id="4" xr3:uid="{E5F86D90-5846-4344-87E6-B3516315C805}" name="Month"/>
    <tableColumn id="5" xr3:uid="{713307EC-ABDD-40F8-9C89-F68D24B11C4B}" name="Product Category"/>
    <tableColumn id="6" xr3:uid="{AE9073D0-5AF4-4DA9-9C49-CC97BDCEC2FD}" name="Units Sold"/>
    <tableColumn id="7" xr3:uid="{AB3A04B5-2B2F-4FCE-BD9A-5E094FAB09AB}" name="Revenue"/>
    <tableColumn id="8" xr3:uid="{C551D4B9-9B2B-460B-9DF5-A96951045440}" name="Target"/>
    <tableColumn id="9" xr3:uid="{7CDF4CF8-5DE8-4952-BC01-B408E06E8EA1}" name="Region"/>
    <tableColumn id="10" xr3:uid="{346FFF8C-BAC1-4391-86E1-F394EC06D36F}" name="Department"/>
    <tableColumn id="11" xr3:uid="{09D01688-A2D0-4915-9484-9B4C20995AC7}" name="Revenue ranges 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BB57A6-8B62-490B-9ED8-72F1E4EB9A0B}" name="Table5" displayName="Table5" ref="A23:K38" totalsRowShown="0">
  <autoFilter ref="A23:K38" xr:uid="{95BB57A6-8B62-490B-9ED8-72F1E4EB9A0B}"/>
  <tableColumns count="11">
    <tableColumn id="1" xr3:uid="{6FC80B89-4965-40B2-B21C-919E4F27514F}" name="Transaction ID"/>
    <tableColumn id="2" xr3:uid="{7670F04C-F867-4DBA-9415-A44862C9C383}" name="Sale Date" dataDxfId="0"/>
    <tableColumn id="3" xr3:uid="{C6780403-9E44-40A4-81B1-6A80D2113875}" name="Employee ID"/>
    <tableColumn id="4" xr3:uid="{5DF14BEF-175B-4A9A-92AB-415AC9FA3B36}" name="Month"/>
    <tableColumn id="5" xr3:uid="{8C223CF5-DB16-4E72-88B5-77B113A8D6FE}" name="Product Category"/>
    <tableColumn id="6" xr3:uid="{B6F98646-DD06-4DEE-8BFB-6137243328E2}" name="Units Sold"/>
    <tableColumn id="7" xr3:uid="{F53CCC2A-53FD-45FB-A850-A77D39EE7BAB}" name="Revenue"/>
    <tableColumn id="8" xr3:uid="{84DCD98E-6BFC-48F2-A83F-95153099B886}" name="Target"/>
    <tableColumn id="9" xr3:uid="{715A71AE-ECDD-43B1-90B2-BDFF9D5721E0}" name="Region"/>
    <tableColumn id="10" xr3:uid="{339DC79B-4A9D-49F2-AEF1-01C744F16686}" name="Department"/>
    <tableColumn id="11" xr3:uid="{B3DB81F5-3B6B-455B-A223-D5570CCF4C26}" name="Revenue range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>
      <selection activeCell="C16" sqref="C16"/>
    </sheetView>
  </sheetViews>
  <sheetFormatPr defaultColWidth="14.453125" defaultRowHeight="15" customHeight="1" x14ac:dyDescent="0.35"/>
  <cols>
    <col min="1" max="1" width="14.81640625" customWidth="1"/>
    <col min="2" max="2" width="11.26953125" customWidth="1"/>
    <col min="3" max="3" width="14.7265625" customWidth="1"/>
    <col min="4" max="4" width="6.7265625" customWidth="1"/>
    <col min="5" max="5" width="18.81640625" customWidth="1"/>
    <col min="6" max="6" width="12.7265625" customWidth="1"/>
    <col min="7" max="7" width="11.54296875" customWidth="1"/>
    <col min="8" max="8" width="9.54296875" customWidth="1"/>
    <col min="9" max="9" width="10" customWidth="1"/>
    <col min="11" max="12" width="13.81640625" bestFit="1" customWidth="1"/>
    <col min="13" max="13" width="8.7265625" customWidth="1"/>
    <col min="14" max="14" width="23.90625" bestFit="1" customWidth="1"/>
    <col min="15" max="15" width="16.6328125" bestFit="1" customWidth="1"/>
    <col min="16" max="26" width="8.7265625" customWidth="1"/>
  </cols>
  <sheetData>
    <row r="1" spans="1:15" ht="18" customHeight="1" x14ac:dyDescent="0.35">
      <c r="A1" s="4" t="s">
        <v>48</v>
      </c>
      <c r="B1" s="5" t="s">
        <v>49</v>
      </c>
      <c r="C1" s="6" t="s">
        <v>0</v>
      </c>
      <c r="D1" s="7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8" t="s">
        <v>4</v>
      </c>
      <c r="J1" s="27" t="s">
        <v>2</v>
      </c>
      <c r="K1" s="27" t="s">
        <v>97</v>
      </c>
      <c r="L1" s="27" t="s">
        <v>3</v>
      </c>
      <c r="M1" s="27" t="s">
        <v>98</v>
      </c>
      <c r="N1" s="27" t="s">
        <v>110</v>
      </c>
      <c r="O1" s="35" t="s">
        <v>117</v>
      </c>
    </row>
    <row r="2" spans="1:15" ht="18" customHeight="1" x14ac:dyDescent="0.35">
      <c r="A2" s="9">
        <v>770265</v>
      </c>
      <c r="B2" s="10">
        <v>44979</v>
      </c>
      <c r="C2" s="11" t="s">
        <v>14</v>
      </c>
      <c r="D2" s="12" t="s">
        <v>55</v>
      </c>
      <c r="E2" s="11" t="s">
        <v>56</v>
      </c>
      <c r="F2" s="11">
        <v>21</v>
      </c>
      <c r="G2" s="11">
        <v>36939</v>
      </c>
      <c r="H2" s="11">
        <v>37433</v>
      </c>
      <c r="I2" s="13" t="s">
        <v>18</v>
      </c>
      <c r="J2" s="26" t="str">
        <f>_xlfn.XLOOKUP(C2,EmployeeMaster!$A$1:$A$9,EmployeeMaster!$C$1:$C$9)</f>
        <v>Marketing</v>
      </c>
      <c r="K2" t="str">
        <f>IFERROR(_xlfn.XLOOKUP(C2,EmployeeMaster!$A$1:$A$9,EmployeeMaster!$B$1:$B$9),"not found")</f>
        <v>Raj Mehta</v>
      </c>
      <c r="L2" t="str">
        <f>IFERROR(_xlfn.XLOOKUP(C2,EmployeeMaster!$A$1:$A$9,EmployeeMaster!$D$1:$D$9,"not found",0),"not found")</f>
        <v>Marketing Lead</v>
      </c>
      <c r="M2" t="str">
        <f>IFERROR(_xlfn.XLOOKUP(C2,EmployeeMaster!$A$1:$A$9,EmployeeMaster!$E$1:$E$9),"not found")</f>
        <v>South</v>
      </c>
      <c r="N2" s="30">
        <f>(G2/H2)*100</f>
        <v>98.680308818422247</v>
      </c>
      <c r="O2">
        <f>_xlfn.XLOOKUP(M2,RegionBenchmarks!$A$1:$A$6,RegionBenchmarks!$B$1:$B$6)</f>
        <v>60000</v>
      </c>
    </row>
    <row r="3" spans="1:15" ht="18" customHeight="1" x14ac:dyDescent="0.35">
      <c r="A3" s="9">
        <v>562322</v>
      </c>
      <c r="B3" s="10">
        <v>45210</v>
      </c>
      <c r="C3" s="11" t="s">
        <v>20</v>
      </c>
      <c r="D3" s="12" t="s">
        <v>55</v>
      </c>
      <c r="E3" s="11" t="s">
        <v>56</v>
      </c>
      <c r="F3" s="11">
        <v>26</v>
      </c>
      <c r="G3" s="11">
        <v>43992</v>
      </c>
      <c r="H3" s="11">
        <v>36857</v>
      </c>
      <c r="I3" s="13" t="s">
        <v>23</v>
      </c>
      <c r="J3" s="26" t="str">
        <f>_xlfn.XLOOKUP(C3,EmployeeMaster!$A$1:$A$9,EmployeeMaster!$C$1:$C$9)</f>
        <v>Sales</v>
      </c>
      <c r="K3" t="str">
        <f>IFERROR(_xlfn.XLOOKUP(C3,EmployeeMaster!$A$1:$A$9,EmployeeMaster!$B$1:$B$9),"not found")</f>
        <v>Ronn Robinson</v>
      </c>
      <c r="L3" t="str">
        <f>IFERROR(_xlfn.XLOOKUP(C3,EmployeeMaster!$A$1:$A$9,EmployeeMaster!$D$1:$D$9,"not found",0),"not found")</f>
        <v>Sr. Sales Exec.</v>
      </c>
      <c r="M3" t="str">
        <f>IFERROR(_xlfn.XLOOKUP(C3,EmployeeMaster!$A$1:$A$9,EmployeeMaster!$E$1:$E$9),"not found")</f>
        <v>East</v>
      </c>
      <c r="N3" s="30">
        <f t="shared" ref="N3:N66" si="0">(G3/H3)*100</f>
        <v>119.35860216512467</v>
      </c>
      <c r="O3">
        <f>_xlfn.XLOOKUP(M3,RegionBenchmarks!$A$1:$A$6,RegionBenchmarks!$B$1:$B$6)</f>
        <v>50000</v>
      </c>
    </row>
    <row r="4" spans="1:15" ht="18" customHeight="1" x14ac:dyDescent="0.35">
      <c r="A4" s="9">
        <v>897935</v>
      </c>
      <c r="B4" s="10">
        <v>45051</v>
      </c>
      <c r="C4" s="11" t="s">
        <v>40</v>
      </c>
      <c r="D4" s="12" t="s">
        <v>55</v>
      </c>
      <c r="E4" s="11" t="s">
        <v>56</v>
      </c>
      <c r="F4" s="11">
        <v>22</v>
      </c>
      <c r="G4" s="11">
        <v>22660</v>
      </c>
      <c r="H4" s="11">
        <v>26125</v>
      </c>
      <c r="I4" s="13" t="s">
        <v>11</v>
      </c>
      <c r="J4" s="26" t="str">
        <f>_xlfn.XLOOKUP(C4,EmployeeMaster!$A$1:$A$9,EmployeeMaster!$C$1:$C$9)</f>
        <v>Marketing</v>
      </c>
      <c r="K4" t="str">
        <f>IFERROR(_xlfn.XLOOKUP(C4,EmployeeMaster!$A$1:$A$9,EmployeeMaster!$B$1:$B$9),"not found")</f>
        <v>Martina Brands</v>
      </c>
      <c r="L4" t="str">
        <f>IFERROR(_xlfn.XLOOKUP(C4,EmployeeMaster!$A$1:$A$9,EmployeeMaster!$D$1:$D$9,"not found",0),"not found")</f>
        <v>Brand Manager</v>
      </c>
      <c r="M4" t="str">
        <f>IFERROR(_xlfn.XLOOKUP(C4,EmployeeMaster!$A$1:$A$9,EmployeeMaster!$E$1:$E$9),"not found")</f>
        <v>North</v>
      </c>
      <c r="N4" s="30">
        <f t="shared" si="0"/>
        <v>86.73684210526315</v>
      </c>
      <c r="O4">
        <f>_xlfn.XLOOKUP(M4,RegionBenchmarks!$A$1:$A$6,RegionBenchmarks!$B$1:$B$6)</f>
        <v>68500</v>
      </c>
    </row>
    <row r="5" spans="1:15" ht="18" customHeight="1" x14ac:dyDescent="0.35">
      <c r="A5" s="9">
        <v>531908</v>
      </c>
      <c r="B5" s="10">
        <v>44959</v>
      </c>
      <c r="C5" s="11" t="s">
        <v>7</v>
      </c>
      <c r="D5" s="12" t="s">
        <v>55</v>
      </c>
      <c r="E5" s="11" t="s">
        <v>57</v>
      </c>
      <c r="F5" s="11">
        <v>55</v>
      </c>
      <c r="G5" s="11">
        <v>66165</v>
      </c>
      <c r="H5" s="11">
        <v>59434</v>
      </c>
      <c r="I5" s="13" t="s">
        <v>11</v>
      </c>
      <c r="J5" s="26" t="str">
        <f>IFERROR(_xlfn.XLOOKUP(C5,EmployeeMaster!$A$1:$A$9,EmployeeMaster!$C$1:$C$9),"not found")</f>
        <v>Sales</v>
      </c>
      <c r="K5" t="str">
        <f>IFERROR(_xlfn.XLOOKUP(C5,EmployeeMaster!$A$1:$A$9,EmployeeMaster!$B$1:$B$9),"not found")</f>
        <v>Lynda Smith</v>
      </c>
      <c r="L5" t="str">
        <f>IFERROR(_xlfn.XLOOKUP(C5,EmployeeMaster!$A$1:$A$9,EmployeeMaster!$D$1:$D$9,"not found",0),"not found")</f>
        <v>Sales Executive</v>
      </c>
      <c r="M5" t="str">
        <f>IFERROR(_xlfn.XLOOKUP(C5,EmployeeMaster!$A$1:$A$9,EmployeeMaster!$E$1:$E$9),"not found")</f>
        <v>North</v>
      </c>
      <c r="N5" s="30">
        <f t="shared" si="0"/>
        <v>111.32516741259212</v>
      </c>
      <c r="O5">
        <f>_xlfn.XLOOKUP(M5,RegionBenchmarks!$A$1:$A$6,RegionBenchmarks!$B$1:$B$6)</f>
        <v>68500</v>
      </c>
    </row>
    <row r="6" spans="1:15" ht="18" customHeight="1" x14ac:dyDescent="0.35">
      <c r="A6" s="9">
        <v>208664</v>
      </c>
      <c r="B6" s="10">
        <v>45231</v>
      </c>
      <c r="C6" s="11" t="s">
        <v>40</v>
      </c>
      <c r="D6" s="12" t="s">
        <v>55</v>
      </c>
      <c r="E6" s="11" t="s">
        <v>56</v>
      </c>
      <c r="F6" s="11">
        <v>34</v>
      </c>
      <c r="G6" s="11">
        <v>49606</v>
      </c>
      <c r="H6" s="11">
        <v>44952</v>
      </c>
      <c r="I6" s="13" t="s">
        <v>11</v>
      </c>
      <c r="J6" s="26" t="str">
        <f>_xlfn.XLOOKUP(C6,EmployeeMaster!$A$1:$A$9,EmployeeMaster!$C$1:$C$9)</f>
        <v>Marketing</v>
      </c>
      <c r="K6" t="str">
        <f>IFERROR(_xlfn.XLOOKUP(C6,EmployeeMaster!$A$1:$A$9,EmployeeMaster!$B$1:$B$9),"not found")</f>
        <v>Martina Brands</v>
      </c>
      <c r="L6" t="str">
        <f>IFERROR(_xlfn.XLOOKUP(C6,EmployeeMaster!$A$1:$A$9,EmployeeMaster!$D$1:$D$9,"not found",0),"not found")</f>
        <v>Brand Manager</v>
      </c>
      <c r="M6" t="str">
        <f>IFERROR(_xlfn.XLOOKUP(C6,EmployeeMaster!$A$1:$A$9,EmployeeMaster!$E$1:$E$9),"not found")</f>
        <v>North</v>
      </c>
      <c r="N6" s="30">
        <f t="shared" si="0"/>
        <v>110.35326570564156</v>
      </c>
      <c r="O6">
        <f>_xlfn.XLOOKUP(M6,RegionBenchmarks!$A$1:$A$6,RegionBenchmarks!$B$1:$B$6)</f>
        <v>68500</v>
      </c>
    </row>
    <row r="7" spans="1:15" ht="18" customHeight="1" x14ac:dyDescent="0.35">
      <c r="A7" s="9">
        <v>690563</v>
      </c>
      <c r="B7" s="10">
        <v>45152</v>
      </c>
      <c r="C7" s="11" t="s">
        <v>20</v>
      </c>
      <c r="D7" s="12" t="s">
        <v>55</v>
      </c>
      <c r="E7" s="11" t="s">
        <v>56</v>
      </c>
      <c r="F7" s="11">
        <v>47</v>
      </c>
      <c r="G7" s="11">
        <v>63356</v>
      </c>
      <c r="H7" s="11">
        <v>63804</v>
      </c>
      <c r="I7" s="13" t="s">
        <v>23</v>
      </c>
      <c r="J7" s="26" t="str">
        <f>_xlfn.XLOOKUP(C7,EmployeeMaster!$A$1:$A$9,EmployeeMaster!$C$1:$C$9)</f>
        <v>Sales</v>
      </c>
      <c r="K7" t="str">
        <f>IFERROR(_xlfn.XLOOKUP(C7,EmployeeMaster!$A$1:$A$9,EmployeeMaster!$B$1:$B$9),"not found")</f>
        <v>Ronn Robinson</v>
      </c>
      <c r="L7" t="str">
        <f>IFERROR(_xlfn.XLOOKUP(C7,EmployeeMaster!$A$1:$A$9,EmployeeMaster!$D$1:$D$9,"not found",0),"not found")</f>
        <v>Sr. Sales Exec.</v>
      </c>
      <c r="M7" t="str">
        <f>IFERROR(_xlfn.XLOOKUP(C7,EmployeeMaster!$A$1:$A$9,EmployeeMaster!$E$1:$E$9),"not found")</f>
        <v>East</v>
      </c>
      <c r="N7" s="30">
        <f t="shared" si="0"/>
        <v>99.29784966459782</v>
      </c>
      <c r="O7">
        <f>_xlfn.XLOOKUP(M7,RegionBenchmarks!$A$1:$A$6,RegionBenchmarks!$B$1:$B$6)</f>
        <v>50000</v>
      </c>
    </row>
    <row r="8" spans="1:15" ht="18" customHeight="1" x14ac:dyDescent="0.35">
      <c r="A8" s="9">
        <v>484790</v>
      </c>
      <c r="B8" s="10">
        <v>45017</v>
      </c>
      <c r="C8" s="11" t="s">
        <v>37</v>
      </c>
      <c r="D8" s="12" t="s">
        <v>55</v>
      </c>
      <c r="E8" s="11" t="s">
        <v>58</v>
      </c>
      <c r="F8" s="11">
        <v>26</v>
      </c>
      <c r="G8" s="11">
        <v>28444</v>
      </c>
      <c r="H8" s="11">
        <v>27220</v>
      </c>
      <c r="I8" s="13" t="s">
        <v>18</v>
      </c>
      <c r="J8" s="26" t="str">
        <f>_xlfn.XLOOKUP(C8,EmployeeMaster!$A$1:$A$9,EmployeeMaster!$C$1:$C$9)</f>
        <v>Sales</v>
      </c>
      <c r="K8" t="str">
        <f>IFERROR(_xlfn.XLOOKUP(C8,EmployeeMaster!$A$1:$A$9,EmployeeMaster!$B$1:$B$9),"not found")</f>
        <v>Fatima Zhang</v>
      </c>
      <c r="L8" t="str">
        <f>IFERROR(_xlfn.XLOOKUP(C8,EmployeeMaster!$A$1:$A$9,EmployeeMaster!$D$1:$D$9,"not found",0),"not found")</f>
        <v>Sales Executive</v>
      </c>
      <c r="M8" t="str">
        <f>IFERROR(_xlfn.XLOOKUP(C8,EmployeeMaster!$A$1:$A$9,EmployeeMaster!$E$1:$E$9),"not found")</f>
        <v>South</v>
      </c>
      <c r="N8" s="30">
        <f t="shared" si="0"/>
        <v>104.49669360764145</v>
      </c>
      <c r="O8">
        <f>_xlfn.XLOOKUP(M8,RegionBenchmarks!$A$1:$A$6,RegionBenchmarks!$B$1:$B$6)</f>
        <v>60000</v>
      </c>
    </row>
    <row r="9" spans="1:15" ht="18" customHeight="1" x14ac:dyDescent="0.35">
      <c r="A9" s="9">
        <v>424434</v>
      </c>
      <c r="B9" s="10">
        <v>45128</v>
      </c>
      <c r="C9" s="11" t="s">
        <v>37</v>
      </c>
      <c r="D9" s="12" t="s">
        <v>55</v>
      </c>
      <c r="E9" s="11" t="s">
        <v>57</v>
      </c>
      <c r="F9" s="11">
        <v>58</v>
      </c>
      <c r="G9" s="11">
        <v>73660</v>
      </c>
      <c r="H9" s="11">
        <v>65437</v>
      </c>
      <c r="I9" s="13" t="s">
        <v>18</v>
      </c>
      <c r="J9" s="26" t="str">
        <f>_xlfn.XLOOKUP(C9,EmployeeMaster!$A$1:$A$9,EmployeeMaster!$C$1:$C$9)</f>
        <v>Sales</v>
      </c>
      <c r="K9" t="str">
        <f>IFERROR(_xlfn.XLOOKUP(C9,EmployeeMaster!$A$1:$A$9,EmployeeMaster!$B$1:$B$9),"not found")</f>
        <v>Fatima Zhang</v>
      </c>
      <c r="L9" t="str">
        <f>IFERROR(_xlfn.XLOOKUP(C9,EmployeeMaster!$A$1:$A$9,EmployeeMaster!$D$1:$D$9,"not found",0),"not found")</f>
        <v>Sales Executive</v>
      </c>
      <c r="M9" t="str">
        <f>IFERROR(_xlfn.XLOOKUP(C9,EmployeeMaster!$A$1:$A$9,EmployeeMaster!$E$1:$E$9),"not found")</f>
        <v>South</v>
      </c>
      <c r="N9" s="30">
        <f t="shared" si="0"/>
        <v>112.56628512920825</v>
      </c>
      <c r="O9">
        <f>_xlfn.XLOOKUP(M9,RegionBenchmarks!$A$1:$A$6,RegionBenchmarks!$B$1:$B$6)</f>
        <v>60000</v>
      </c>
    </row>
    <row r="10" spans="1:15" ht="18" customHeight="1" x14ac:dyDescent="0.35">
      <c r="A10" s="9">
        <v>190886</v>
      </c>
      <c r="B10" s="10">
        <v>45289</v>
      </c>
      <c r="C10" s="11" t="s">
        <v>44</v>
      </c>
      <c r="D10" s="12" t="s">
        <v>59</v>
      </c>
      <c r="E10" s="11" t="s">
        <v>57</v>
      </c>
      <c r="F10" s="11">
        <v>54</v>
      </c>
      <c r="G10" s="11">
        <v>60858</v>
      </c>
      <c r="H10" s="11">
        <v>59657</v>
      </c>
      <c r="I10" s="13" t="s">
        <v>23</v>
      </c>
      <c r="J10" s="26" t="str">
        <f>_xlfn.XLOOKUP(C10,EmployeeMaster!$A$1:$A$9,EmployeeMaster!$C$1:$C$9)</f>
        <v>Sales</v>
      </c>
      <c r="K10" t="str">
        <f>IFERROR(_xlfn.XLOOKUP(C10,EmployeeMaster!$A$1:$A$9,EmployeeMaster!$B$1:$B$9),"not found")</f>
        <v>John Taylor</v>
      </c>
      <c r="L10" t="str">
        <f>IFERROR(_xlfn.XLOOKUP(C10,EmployeeMaster!$A$1:$A$9,EmployeeMaster!$D$1:$D$9,"not found",0),"not found")</f>
        <v>Sales Manager</v>
      </c>
      <c r="M10" t="str">
        <f>IFERROR(_xlfn.XLOOKUP(C10,EmployeeMaster!$A$1:$A$9,EmployeeMaster!$E$1:$E$9),"not found")</f>
        <v>East</v>
      </c>
      <c r="N10" s="30">
        <f t="shared" si="0"/>
        <v>102.01317531890641</v>
      </c>
      <c r="O10">
        <f>_xlfn.XLOOKUP(M10,RegionBenchmarks!$A$1:$A$6,RegionBenchmarks!$B$1:$B$6)</f>
        <v>50000</v>
      </c>
    </row>
    <row r="11" spans="1:15" ht="18" customHeight="1" x14ac:dyDescent="0.35">
      <c r="A11" s="9">
        <v>655665</v>
      </c>
      <c r="B11" s="10">
        <v>45050</v>
      </c>
      <c r="C11" s="11" t="s">
        <v>32</v>
      </c>
      <c r="D11" s="12" t="s">
        <v>59</v>
      </c>
      <c r="E11" s="11" t="s">
        <v>57</v>
      </c>
      <c r="F11" s="11">
        <v>60</v>
      </c>
      <c r="G11" s="11">
        <v>97980</v>
      </c>
      <c r="H11" s="11">
        <v>88473</v>
      </c>
      <c r="I11" s="13" t="s">
        <v>35</v>
      </c>
      <c r="J11" s="26" t="str">
        <f>_xlfn.XLOOKUP(C11,EmployeeMaster!$A$1:$A$9,EmployeeMaster!$C$1:$C$9)</f>
        <v>Sales</v>
      </c>
      <c r="K11" t="str">
        <f>IFERROR(_xlfn.XLOOKUP(C11,EmployeeMaster!$A$1:$A$9,EmployeeMaster!$B$1:$B$9),"not found")</f>
        <v>Joe Lyn</v>
      </c>
      <c r="L11" t="str">
        <f>IFERROR(_xlfn.XLOOKUP(C11,EmployeeMaster!$A$1:$A$9,EmployeeMaster!$D$1:$D$9,"not found",0),"not found")</f>
        <v>Sales Associate</v>
      </c>
      <c r="M11" t="str">
        <f>IFERROR(_xlfn.XLOOKUP(C11,EmployeeMaster!$A$1:$A$9,EmployeeMaster!$E$1:$E$9),"not found")</f>
        <v>Central</v>
      </c>
      <c r="N11" s="30">
        <f t="shared" si="0"/>
        <v>110.7456512156251</v>
      </c>
      <c r="O11">
        <f>_xlfn.XLOOKUP(M11,RegionBenchmarks!$A$1:$A$6,RegionBenchmarks!$B$1:$B$6)</f>
        <v>45000</v>
      </c>
    </row>
    <row r="12" spans="1:15" ht="18" customHeight="1" x14ac:dyDescent="0.35">
      <c r="A12" s="9">
        <v>624861</v>
      </c>
      <c r="B12" s="10">
        <v>45132</v>
      </c>
      <c r="C12" s="11" t="s">
        <v>26</v>
      </c>
      <c r="D12" s="12" t="s">
        <v>59</v>
      </c>
      <c r="E12" s="11" t="s">
        <v>58</v>
      </c>
      <c r="F12" s="11">
        <v>24</v>
      </c>
      <c r="G12" s="11">
        <v>25104</v>
      </c>
      <c r="H12" s="11">
        <v>19270</v>
      </c>
      <c r="I12" s="13" t="s">
        <v>30</v>
      </c>
      <c r="J12" s="26" t="str">
        <f>_xlfn.XLOOKUP(C12,EmployeeMaster!$A$1:$A$9,EmployeeMaster!$C$1:$C$9)</f>
        <v>Operations</v>
      </c>
      <c r="K12" t="str">
        <f>IFERROR(_xlfn.XLOOKUP(C12,EmployeeMaster!$A$1:$A$9,EmployeeMaster!$B$1:$B$9),"not found")</f>
        <v>Christi Davis</v>
      </c>
      <c r="L12" t="str">
        <f>IFERROR(_xlfn.XLOOKUP(C12,EmployeeMaster!$A$1:$A$9,EmployeeMaster!$D$1:$D$9,"not found",0),"not found")</f>
        <v>Ops Manager</v>
      </c>
      <c r="M12" t="str">
        <f>IFERROR(_xlfn.XLOOKUP(C12,EmployeeMaster!$A$1:$A$9,EmployeeMaster!$E$1:$E$9),"not found")</f>
        <v>West</v>
      </c>
      <c r="N12" s="30">
        <f t="shared" si="0"/>
        <v>130.27503892060196</v>
      </c>
      <c r="O12">
        <f>_xlfn.XLOOKUP(M12,RegionBenchmarks!$A$1:$A$6,RegionBenchmarks!$B$1:$B$6)</f>
        <v>55000</v>
      </c>
    </row>
    <row r="13" spans="1:15" ht="18" customHeight="1" x14ac:dyDescent="0.35">
      <c r="A13" s="9">
        <v>279643</v>
      </c>
      <c r="B13" s="10">
        <v>44982</v>
      </c>
      <c r="C13" s="11" t="s">
        <v>14</v>
      </c>
      <c r="D13" s="12" t="s">
        <v>59</v>
      </c>
      <c r="E13" s="11" t="s">
        <v>58</v>
      </c>
      <c r="F13" s="11">
        <v>34</v>
      </c>
      <c r="G13" s="11">
        <v>64158</v>
      </c>
      <c r="H13" s="11">
        <v>67504</v>
      </c>
      <c r="I13" s="13" t="s">
        <v>18</v>
      </c>
      <c r="J13" s="26" t="str">
        <f>_xlfn.XLOOKUP(C13,EmployeeMaster!$A$1:$A$9,EmployeeMaster!$C$1:$C$9)</f>
        <v>Marketing</v>
      </c>
      <c r="K13" t="str">
        <f>IFERROR(_xlfn.XLOOKUP(C13,EmployeeMaster!$A$1:$A$9,EmployeeMaster!$B$1:$B$9),"not found")</f>
        <v>Raj Mehta</v>
      </c>
      <c r="L13" t="str">
        <f>IFERROR(_xlfn.XLOOKUP(C13,EmployeeMaster!$A$1:$A$9,EmployeeMaster!$D$1:$D$9,"not found",0),"not found")</f>
        <v>Marketing Lead</v>
      </c>
      <c r="M13" t="str">
        <f>IFERROR(_xlfn.XLOOKUP(C13,EmployeeMaster!$A$1:$A$9,EmployeeMaster!$E$1:$E$9),"not found")</f>
        <v>South</v>
      </c>
      <c r="N13" s="30">
        <f t="shared" si="0"/>
        <v>95.043256695899501</v>
      </c>
      <c r="O13">
        <f>_xlfn.XLOOKUP(M13,RegionBenchmarks!$A$1:$A$6,RegionBenchmarks!$B$1:$B$6)</f>
        <v>60000</v>
      </c>
    </row>
    <row r="14" spans="1:15" ht="18" customHeight="1" x14ac:dyDescent="0.35">
      <c r="A14" s="9">
        <v>915044</v>
      </c>
      <c r="B14" s="10">
        <v>44981</v>
      </c>
      <c r="C14" s="11" t="s">
        <v>44</v>
      </c>
      <c r="D14" s="12" t="s">
        <v>59</v>
      </c>
      <c r="E14" s="11" t="s">
        <v>58</v>
      </c>
      <c r="F14" s="11">
        <v>60</v>
      </c>
      <c r="G14" s="11">
        <v>111240</v>
      </c>
      <c r="H14" s="11">
        <v>110263</v>
      </c>
      <c r="I14" s="13" t="s">
        <v>23</v>
      </c>
      <c r="J14" s="26" t="str">
        <f>_xlfn.XLOOKUP(C14,EmployeeMaster!$A$1:$A$9,EmployeeMaster!$C$1:$C$9)</f>
        <v>Sales</v>
      </c>
      <c r="K14" t="str">
        <f>IFERROR(_xlfn.XLOOKUP(C14,EmployeeMaster!$A$1:$A$9,EmployeeMaster!$B$1:$B$9),"not found")</f>
        <v>John Taylor</v>
      </c>
      <c r="L14" t="str">
        <f>IFERROR(_xlfn.XLOOKUP(C14,EmployeeMaster!$A$1:$A$9,EmployeeMaster!$D$1:$D$9,"not found",0),"not found")</f>
        <v>Sales Manager</v>
      </c>
      <c r="M14" t="str">
        <f>IFERROR(_xlfn.XLOOKUP(C14,EmployeeMaster!$A$1:$A$9,EmployeeMaster!$E$1:$E$9),"not found")</f>
        <v>East</v>
      </c>
      <c r="N14" s="30">
        <f t="shared" si="0"/>
        <v>100.88606332133172</v>
      </c>
      <c r="O14">
        <f>_xlfn.XLOOKUP(M14,RegionBenchmarks!$A$1:$A$6,RegionBenchmarks!$B$1:$B$6)</f>
        <v>50000</v>
      </c>
    </row>
    <row r="15" spans="1:15" ht="18" customHeight="1" x14ac:dyDescent="0.35">
      <c r="A15" s="9">
        <v>480683</v>
      </c>
      <c r="B15" s="10">
        <v>45164</v>
      </c>
      <c r="C15" s="11" t="s">
        <v>37</v>
      </c>
      <c r="D15" s="12" t="s">
        <v>59</v>
      </c>
      <c r="E15" s="11" t="s">
        <v>57</v>
      </c>
      <c r="F15" s="11">
        <v>33</v>
      </c>
      <c r="G15" s="11">
        <v>55638</v>
      </c>
      <c r="H15" s="11">
        <v>56264</v>
      </c>
      <c r="I15" s="13" t="s">
        <v>18</v>
      </c>
      <c r="J15" s="26" t="str">
        <f>_xlfn.XLOOKUP(C15,EmployeeMaster!$A$1:$A$9,EmployeeMaster!$C$1:$C$9)</f>
        <v>Sales</v>
      </c>
      <c r="K15" t="str">
        <f>IFERROR(_xlfn.XLOOKUP(C15,EmployeeMaster!$A$1:$A$9,EmployeeMaster!$B$1:$B$9),"not found")</f>
        <v>Fatima Zhang</v>
      </c>
      <c r="L15" t="str">
        <f>IFERROR(_xlfn.XLOOKUP(C15,EmployeeMaster!$A$1:$A$9,EmployeeMaster!$D$1:$D$9,"not found",0),"not found")</f>
        <v>Sales Executive</v>
      </c>
      <c r="M15" t="str">
        <f>IFERROR(_xlfn.XLOOKUP(C15,EmployeeMaster!$A$1:$A$9,EmployeeMaster!$E$1:$E$9),"not found")</f>
        <v>South</v>
      </c>
      <c r="N15" s="30">
        <f t="shared" si="0"/>
        <v>98.88738802786861</v>
      </c>
      <c r="O15">
        <f>_xlfn.XLOOKUP(M15,RegionBenchmarks!$A$1:$A$6,RegionBenchmarks!$B$1:$B$6)</f>
        <v>60000</v>
      </c>
    </row>
    <row r="16" spans="1:15" ht="18" customHeight="1" x14ac:dyDescent="0.35">
      <c r="A16" s="9">
        <v>527151</v>
      </c>
      <c r="B16" s="10">
        <v>44970</v>
      </c>
      <c r="C16" s="11" t="s">
        <v>14</v>
      </c>
      <c r="D16" s="12" t="s">
        <v>59</v>
      </c>
      <c r="E16" s="11" t="s">
        <v>57</v>
      </c>
      <c r="F16" s="11">
        <v>58</v>
      </c>
      <c r="G16" s="11">
        <v>95700</v>
      </c>
      <c r="H16" s="11">
        <v>97897</v>
      </c>
      <c r="I16" s="13" t="s">
        <v>18</v>
      </c>
      <c r="J16" s="26" t="str">
        <f>_xlfn.XLOOKUP(C16,EmployeeMaster!$A$1:$A$9,EmployeeMaster!$C$1:$C$9)</f>
        <v>Marketing</v>
      </c>
      <c r="K16" t="str">
        <f>IFERROR(_xlfn.XLOOKUP(C16,EmployeeMaster!$A$1:$A$9,EmployeeMaster!$B$1:$B$9),"not found")</f>
        <v>Raj Mehta</v>
      </c>
      <c r="L16" t="str">
        <f>IFERROR(_xlfn.XLOOKUP(C16,EmployeeMaster!$A$1:$A$9,EmployeeMaster!$D$1:$D$9,"not found",0),"not found")</f>
        <v>Marketing Lead</v>
      </c>
      <c r="M16" t="str">
        <f>IFERROR(_xlfn.XLOOKUP(C16,EmployeeMaster!$A$1:$A$9,EmployeeMaster!$E$1:$E$9),"not found")</f>
        <v>South</v>
      </c>
      <c r="N16" s="30">
        <f t="shared" si="0"/>
        <v>97.755804570109404</v>
      </c>
      <c r="O16">
        <f>_xlfn.XLOOKUP(M16,RegionBenchmarks!$A$1:$A$6,RegionBenchmarks!$B$1:$B$6)</f>
        <v>60000</v>
      </c>
    </row>
    <row r="17" spans="1:15" ht="18" customHeight="1" x14ac:dyDescent="0.35">
      <c r="A17" s="9">
        <v>914427</v>
      </c>
      <c r="B17" s="10">
        <v>45105</v>
      </c>
      <c r="C17" s="11" t="s">
        <v>26</v>
      </c>
      <c r="D17" s="12" t="s">
        <v>59</v>
      </c>
      <c r="E17" s="11" t="s">
        <v>57</v>
      </c>
      <c r="F17" s="11">
        <v>30</v>
      </c>
      <c r="G17" s="11">
        <v>44190</v>
      </c>
      <c r="H17" s="11">
        <v>42974</v>
      </c>
      <c r="I17" s="13" t="s">
        <v>30</v>
      </c>
      <c r="J17" s="26" t="str">
        <f>_xlfn.XLOOKUP(C17,EmployeeMaster!$A$1:$A$9,EmployeeMaster!$C$1:$C$9)</f>
        <v>Operations</v>
      </c>
      <c r="K17" t="str">
        <f>IFERROR(_xlfn.XLOOKUP(C17,EmployeeMaster!$A$1:$A$9,EmployeeMaster!$B$1:$B$9),"not found")</f>
        <v>Christi Davis</v>
      </c>
      <c r="L17" t="str">
        <f>IFERROR(_xlfn.XLOOKUP(C17,EmployeeMaster!$A$1:$A$9,EmployeeMaster!$D$1:$D$9,"not found",0),"not found")</f>
        <v>Ops Manager</v>
      </c>
      <c r="M17" t="str">
        <f>IFERROR(_xlfn.XLOOKUP(C17,EmployeeMaster!$A$1:$A$9,EmployeeMaster!$E$1:$E$9),"not found")</f>
        <v>West</v>
      </c>
      <c r="N17" s="30">
        <f t="shared" si="0"/>
        <v>102.82961790850283</v>
      </c>
      <c r="O17">
        <f>_xlfn.XLOOKUP(M17,RegionBenchmarks!$A$1:$A$6,RegionBenchmarks!$B$1:$B$6)</f>
        <v>55000</v>
      </c>
    </row>
    <row r="18" spans="1:15" ht="18" customHeight="1" x14ac:dyDescent="0.35">
      <c r="A18" s="9">
        <v>457546</v>
      </c>
      <c r="B18" s="10">
        <v>45258</v>
      </c>
      <c r="C18" s="11" t="s">
        <v>26</v>
      </c>
      <c r="D18" s="12" t="s">
        <v>59</v>
      </c>
      <c r="E18" s="11" t="s">
        <v>56</v>
      </c>
      <c r="F18" s="11">
        <v>40</v>
      </c>
      <c r="G18" s="11">
        <v>74520</v>
      </c>
      <c r="H18" s="11">
        <v>66932</v>
      </c>
      <c r="I18" s="13" t="s">
        <v>30</v>
      </c>
      <c r="J18" s="26" t="str">
        <f>_xlfn.XLOOKUP(C18,EmployeeMaster!$A$1:$A$9,EmployeeMaster!$C$1:$C$9)</f>
        <v>Operations</v>
      </c>
      <c r="K18" t="str">
        <f>IFERROR(_xlfn.XLOOKUP(C18,EmployeeMaster!$A$1:$A$9,EmployeeMaster!$B$1:$B$9),"not found")</f>
        <v>Christi Davis</v>
      </c>
      <c r="L18" t="str">
        <f>IFERROR(_xlfn.XLOOKUP(C18,EmployeeMaster!$A$1:$A$9,EmployeeMaster!$D$1:$D$9,"not found",0),"not found")</f>
        <v>Ops Manager</v>
      </c>
      <c r="M18" t="str">
        <f>IFERROR(_xlfn.XLOOKUP(C18,EmployeeMaster!$A$1:$A$9,EmployeeMaster!$E$1:$E$9),"not found")</f>
        <v>West</v>
      </c>
      <c r="N18" s="30">
        <f t="shared" si="0"/>
        <v>111.33687922070162</v>
      </c>
      <c r="O18">
        <f>_xlfn.XLOOKUP(M18,RegionBenchmarks!$A$1:$A$6,RegionBenchmarks!$B$1:$B$6)</f>
        <v>55000</v>
      </c>
    </row>
    <row r="19" spans="1:15" ht="18" customHeight="1" x14ac:dyDescent="0.35">
      <c r="A19" s="9">
        <v>674613</v>
      </c>
      <c r="B19" s="10">
        <v>45163</v>
      </c>
      <c r="C19" s="11" t="s">
        <v>7</v>
      </c>
      <c r="D19" s="12" t="s">
        <v>60</v>
      </c>
      <c r="E19" s="11" t="s">
        <v>56</v>
      </c>
      <c r="F19" s="11">
        <v>40</v>
      </c>
      <c r="G19" s="11">
        <v>56400</v>
      </c>
      <c r="H19" s="11">
        <v>57014</v>
      </c>
      <c r="I19" s="13" t="s">
        <v>11</v>
      </c>
      <c r="J19" s="26" t="str">
        <f>_xlfn.XLOOKUP(C19,EmployeeMaster!$A$1:$A$9,EmployeeMaster!$C$1:$C$9)</f>
        <v>Sales</v>
      </c>
      <c r="K19" t="str">
        <f>IFERROR(_xlfn.XLOOKUP(C19,EmployeeMaster!$A$1:$A$9,EmployeeMaster!$B$1:$B$9),"not found")</f>
        <v>Lynda Smith</v>
      </c>
      <c r="L19" t="str">
        <f>IFERROR(_xlfn.XLOOKUP(C19,EmployeeMaster!$A$1:$A$9,EmployeeMaster!$D$1:$D$9,"not found",0),"not found")</f>
        <v>Sales Executive</v>
      </c>
      <c r="M19" t="str">
        <f>IFERROR(_xlfn.XLOOKUP(C19,EmployeeMaster!$A$1:$A$9,EmployeeMaster!$E$1:$E$9),"not found")</f>
        <v>North</v>
      </c>
      <c r="N19" s="30">
        <f t="shared" si="0"/>
        <v>98.923071526291778</v>
      </c>
      <c r="O19">
        <f>_xlfn.XLOOKUP(M19,RegionBenchmarks!$A$1:$A$6,RegionBenchmarks!$B$1:$B$6)</f>
        <v>68500</v>
      </c>
    </row>
    <row r="20" spans="1:15" ht="18" customHeight="1" x14ac:dyDescent="0.35">
      <c r="A20" s="9">
        <v>376752</v>
      </c>
      <c r="B20" s="10">
        <v>45028</v>
      </c>
      <c r="C20" s="11" t="s">
        <v>37</v>
      </c>
      <c r="D20" s="12" t="s">
        <v>60</v>
      </c>
      <c r="E20" s="11" t="s">
        <v>57</v>
      </c>
      <c r="F20" s="11">
        <v>33</v>
      </c>
      <c r="G20" s="11">
        <v>55143</v>
      </c>
      <c r="H20" s="11">
        <v>51964</v>
      </c>
      <c r="I20" s="13" t="s">
        <v>18</v>
      </c>
      <c r="J20" s="26" t="str">
        <f>_xlfn.XLOOKUP(C20,EmployeeMaster!$A$1:$A$9,EmployeeMaster!$C$1:$C$9)</f>
        <v>Sales</v>
      </c>
      <c r="K20" t="str">
        <f>IFERROR(_xlfn.XLOOKUP(C20,EmployeeMaster!$A$1:$A$9,EmployeeMaster!$B$1:$B$9),"not found")</f>
        <v>Fatima Zhang</v>
      </c>
      <c r="L20" t="str">
        <f>IFERROR(_xlfn.XLOOKUP(C20,EmployeeMaster!$A$1:$A$9,EmployeeMaster!$D$1:$D$9,"not found",0),"not found")</f>
        <v>Sales Executive</v>
      </c>
      <c r="M20" t="str">
        <f>IFERROR(_xlfn.XLOOKUP(C20,EmployeeMaster!$A$1:$A$9,EmployeeMaster!$E$1:$E$9),"not found")</f>
        <v>South</v>
      </c>
      <c r="N20" s="30">
        <f t="shared" si="0"/>
        <v>106.11769686706181</v>
      </c>
      <c r="O20">
        <f>_xlfn.XLOOKUP(M20,RegionBenchmarks!$A$1:$A$6,RegionBenchmarks!$B$1:$B$6)</f>
        <v>60000</v>
      </c>
    </row>
    <row r="21" spans="1:15" ht="18" customHeight="1" x14ac:dyDescent="0.35">
      <c r="A21" s="9">
        <v>476554</v>
      </c>
      <c r="B21" s="10">
        <v>45201</v>
      </c>
      <c r="C21" s="11" t="s">
        <v>44</v>
      </c>
      <c r="D21" s="12" t="s">
        <v>60</v>
      </c>
      <c r="E21" s="11" t="s">
        <v>57</v>
      </c>
      <c r="F21" s="11">
        <v>29</v>
      </c>
      <c r="G21" s="11">
        <v>36859</v>
      </c>
      <c r="H21" s="11">
        <v>39572</v>
      </c>
      <c r="I21" s="13" t="s">
        <v>23</v>
      </c>
      <c r="J21" s="26" t="str">
        <f>_xlfn.XLOOKUP(C21,EmployeeMaster!$A$1:$A$9,EmployeeMaster!$C$1:$C$9)</f>
        <v>Sales</v>
      </c>
      <c r="K21" t="str">
        <f>IFERROR(_xlfn.XLOOKUP(C21,EmployeeMaster!$A$1:$A$9,EmployeeMaster!$B$1:$B$9),"not found")</f>
        <v>John Taylor</v>
      </c>
      <c r="L21" t="str">
        <f>IFERROR(_xlfn.XLOOKUP(C21,EmployeeMaster!$A$1:$A$9,EmployeeMaster!$D$1:$D$9,"not found",0),"not found")</f>
        <v>Sales Manager</v>
      </c>
      <c r="M21" t="str">
        <f>IFERROR(_xlfn.XLOOKUP(C21,EmployeeMaster!$A$1:$A$9,EmployeeMaster!$E$1:$E$9),"not found")</f>
        <v>East</v>
      </c>
      <c r="N21" s="30">
        <f t="shared" si="0"/>
        <v>93.144142322854535</v>
      </c>
      <c r="O21">
        <f>_xlfn.XLOOKUP(M21,RegionBenchmarks!$A$1:$A$6,RegionBenchmarks!$B$1:$B$6)</f>
        <v>50000</v>
      </c>
    </row>
    <row r="22" spans="1:15" ht="18" customHeight="1" x14ac:dyDescent="0.35">
      <c r="A22" s="9">
        <v>664779</v>
      </c>
      <c r="B22" s="10">
        <v>45239</v>
      </c>
      <c r="C22" s="11" t="s">
        <v>32</v>
      </c>
      <c r="D22" s="12" t="s">
        <v>60</v>
      </c>
      <c r="E22" s="11" t="s">
        <v>58</v>
      </c>
      <c r="F22" s="11">
        <v>57</v>
      </c>
      <c r="G22" s="11">
        <v>81966</v>
      </c>
      <c r="H22" s="11">
        <v>72257</v>
      </c>
      <c r="I22" s="13" t="s">
        <v>35</v>
      </c>
      <c r="J22" s="26" t="str">
        <f>_xlfn.XLOOKUP(C22,EmployeeMaster!$A$1:$A$9,EmployeeMaster!$C$1:$C$9)</f>
        <v>Sales</v>
      </c>
      <c r="K22" t="str">
        <f>IFERROR(_xlfn.XLOOKUP(C22,EmployeeMaster!$A$1:$A$9,EmployeeMaster!$B$1:$B$9),"not found")</f>
        <v>Joe Lyn</v>
      </c>
      <c r="L22" t="str">
        <f>IFERROR(_xlfn.XLOOKUP(C22,EmployeeMaster!$A$1:$A$9,EmployeeMaster!$D$1:$D$9,"not found",0),"not found")</f>
        <v>Sales Associate</v>
      </c>
      <c r="M22" t="str">
        <f>IFERROR(_xlfn.XLOOKUP(C22,EmployeeMaster!$A$1:$A$9,EmployeeMaster!$E$1:$E$9),"not found")</f>
        <v>Central</v>
      </c>
      <c r="N22" s="30">
        <f t="shared" si="0"/>
        <v>113.43676045227451</v>
      </c>
      <c r="O22">
        <f>_xlfn.XLOOKUP(M22,RegionBenchmarks!$A$1:$A$6,RegionBenchmarks!$B$1:$B$6)</f>
        <v>45000</v>
      </c>
    </row>
    <row r="23" spans="1:15" ht="18" customHeight="1" x14ac:dyDescent="0.35">
      <c r="A23" s="9">
        <v>311452</v>
      </c>
      <c r="B23" s="10">
        <v>44970</v>
      </c>
      <c r="C23" s="11" t="s">
        <v>37</v>
      </c>
      <c r="D23" s="12" t="s">
        <v>60</v>
      </c>
      <c r="E23" s="11" t="s">
        <v>56</v>
      </c>
      <c r="F23" s="11">
        <v>34</v>
      </c>
      <c r="G23" s="11">
        <v>38794</v>
      </c>
      <c r="H23" s="11">
        <v>35446</v>
      </c>
      <c r="I23" s="13" t="s">
        <v>18</v>
      </c>
      <c r="J23" s="26" t="str">
        <f>_xlfn.XLOOKUP(C23,EmployeeMaster!$A$1:$A$9,EmployeeMaster!$C$1:$C$9)</f>
        <v>Sales</v>
      </c>
      <c r="K23" t="str">
        <f>IFERROR(_xlfn.XLOOKUP(C23,EmployeeMaster!$A$1:$A$9,EmployeeMaster!$B$1:$B$9),"not found")</f>
        <v>Fatima Zhang</v>
      </c>
      <c r="L23" t="str">
        <f>IFERROR(_xlfn.XLOOKUP(C23,EmployeeMaster!$A$1:$A$9,EmployeeMaster!$D$1:$D$9,"not found",0),"not found")</f>
        <v>Sales Executive</v>
      </c>
      <c r="M23" t="str">
        <f>IFERROR(_xlfn.XLOOKUP(C23,EmployeeMaster!$A$1:$A$9,EmployeeMaster!$E$1:$E$9),"not found")</f>
        <v>South</v>
      </c>
      <c r="N23" s="30">
        <f t="shared" si="0"/>
        <v>109.44535349545788</v>
      </c>
      <c r="O23">
        <f>_xlfn.XLOOKUP(M23,RegionBenchmarks!$A$1:$A$6,RegionBenchmarks!$B$1:$B$6)</f>
        <v>60000</v>
      </c>
    </row>
    <row r="24" spans="1:15" ht="18" customHeight="1" x14ac:dyDescent="0.35">
      <c r="A24" s="9">
        <v>448445</v>
      </c>
      <c r="B24" s="10">
        <v>45232</v>
      </c>
      <c r="C24" s="11" t="s">
        <v>7</v>
      </c>
      <c r="D24" s="12" t="s">
        <v>60</v>
      </c>
      <c r="E24" s="11" t="s">
        <v>57</v>
      </c>
      <c r="F24" s="11">
        <v>27</v>
      </c>
      <c r="G24" s="11">
        <v>31212</v>
      </c>
      <c r="H24" s="11">
        <v>25932</v>
      </c>
      <c r="I24" s="13" t="s">
        <v>11</v>
      </c>
      <c r="J24" s="26" t="str">
        <f>_xlfn.XLOOKUP(C24,EmployeeMaster!$A$1:$A$9,EmployeeMaster!$C$1:$C$9)</f>
        <v>Sales</v>
      </c>
      <c r="K24" t="str">
        <f>IFERROR(_xlfn.XLOOKUP(C24,EmployeeMaster!$A$1:$A$9,EmployeeMaster!$B$1:$B$9),"not found")</f>
        <v>Lynda Smith</v>
      </c>
      <c r="L24" t="str">
        <f>IFERROR(_xlfn.XLOOKUP(C24,EmployeeMaster!$A$1:$A$9,EmployeeMaster!$D$1:$D$9,"not found",0),"not found")</f>
        <v>Sales Executive</v>
      </c>
      <c r="M24" t="str">
        <f>IFERROR(_xlfn.XLOOKUP(C24,EmployeeMaster!$A$1:$A$9,EmployeeMaster!$E$1:$E$9),"not found")</f>
        <v>North</v>
      </c>
      <c r="N24" s="30">
        <f t="shared" si="0"/>
        <v>120.36094400740399</v>
      </c>
      <c r="O24">
        <f>_xlfn.XLOOKUP(M24,RegionBenchmarks!$A$1:$A$6,RegionBenchmarks!$B$1:$B$6)</f>
        <v>68500</v>
      </c>
    </row>
    <row r="25" spans="1:15" ht="18" customHeight="1" x14ac:dyDescent="0.35">
      <c r="A25" s="9">
        <v>384298</v>
      </c>
      <c r="B25" s="10">
        <v>45074</v>
      </c>
      <c r="C25" s="11" t="s">
        <v>40</v>
      </c>
      <c r="D25" s="12" t="s">
        <v>61</v>
      </c>
      <c r="E25" s="11" t="s">
        <v>57</v>
      </c>
      <c r="F25" s="11">
        <v>58</v>
      </c>
      <c r="G25" s="11">
        <v>61770</v>
      </c>
      <c r="H25" s="11">
        <v>60466</v>
      </c>
      <c r="I25" s="13" t="s">
        <v>11</v>
      </c>
      <c r="J25" s="26" t="str">
        <f>_xlfn.XLOOKUP(C25,EmployeeMaster!$A$1:$A$9,EmployeeMaster!$C$1:$C$9)</f>
        <v>Marketing</v>
      </c>
      <c r="K25" t="str">
        <f>IFERROR(_xlfn.XLOOKUP(C25,EmployeeMaster!$A$1:$A$9,EmployeeMaster!$B$1:$B$9),"not found")</f>
        <v>Martina Brands</v>
      </c>
      <c r="L25" t="str">
        <f>IFERROR(_xlfn.XLOOKUP(C25,EmployeeMaster!$A$1:$A$9,EmployeeMaster!$D$1:$D$9,"not found",0),"not found")</f>
        <v>Brand Manager</v>
      </c>
      <c r="M25" t="str">
        <f>IFERROR(_xlfn.XLOOKUP(C25,EmployeeMaster!$A$1:$A$9,EmployeeMaster!$E$1:$E$9),"not found")</f>
        <v>North</v>
      </c>
      <c r="N25" s="30">
        <f t="shared" si="0"/>
        <v>102.15658386531274</v>
      </c>
      <c r="O25">
        <f>_xlfn.XLOOKUP(M25,RegionBenchmarks!$A$1:$A$6,RegionBenchmarks!$B$1:$B$6)</f>
        <v>68500</v>
      </c>
    </row>
    <row r="26" spans="1:15" ht="18" customHeight="1" x14ac:dyDescent="0.35">
      <c r="A26" s="9">
        <v>168453</v>
      </c>
      <c r="B26" s="10">
        <v>45214</v>
      </c>
      <c r="C26" s="11" t="s">
        <v>44</v>
      </c>
      <c r="D26" s="12" t="s">
        <v>61</v>
      </c>
      <c r="E26" s="11" t="s">
        <v>57</v>
      </c>
      <c r="F26" s="11">
        <v>53</v>
      </c>
      <c r="G26" s="11">
        <v>66621</v>
      </c>
      <c r="H26" s="11">
        <v>62557</v>
      </c>
      <c r="I26" s="13" t="s">
        <v>23</v>
      </c>
      <c r="J26" s="26" t="str">
        <f>_xlfn.XLOOKUP(C26,EmployeeMaster!$A$1:$A$9,EmployeeMaster!$C$1:$C$9)</f>
        <v>Sales</v>
      </c>
      <c r="K26" t="str">
        <f>IFERROR(_xlfn.XLOOKUP(C26,EmployeeMaster!$A$1:$A$9,EmployeeMaster!$B$1:$B$9),"not found")</f>
        <v>John Taylor</v>
      </c>
      <c r="L26" t="str">
        <f>IFERROR(_xlfn.XLOOKUP(C26,EmployeeMaster!$A$1:$A$9,EmployeeMaster!$D$1:$D$9,"not found",0),"not found")</f>
        <v>Sales Manager</v>
      </c>
      <c r="M26" t="str">
        <f>IFERROR(_xlfn.XLOOKUP(C26,EmployeeMaster!$A$1:$A$9,EmployeeMaster!$E$1:$E$9),"not found")</f>
        <v>East</v>
      </c>
      <c r="N26" s="30">
        <f t="shared" si="0"/>
        <v>106.49647521460427</v>
      </c>
      <c r="O26">
        <f>_xlfn.XLOOKUP(M26,RegionBenchmarks!$A$1:$A$6,RegionBenchmarks!$B$1:$B$6)</f>
        <v>50000</v>
      </c>
    </row>
    <row r="27" spans="1:15" ht="18" customHeight="1" x14ac:dyDescent="0.35">
      <c r="A27" s="9">
        <v>985975</v>
      </c>
      <c r="B27" s="10">
        <v>44942</v>
      </c>
      <c r="C27" s="11" t="s">
        <v>14</v>
      </c>
      <c r="D27" s="12" t="s">
        <v>61</v>
      </c>
      <c r="E27" s="11" t="s">
        <v>58</v>
      </c>
      <c r="F27" s="11">
        <v>54</v>
      </c>
      <c r="G27" s="11">
        <v>95472</v>
      </c>
      <c r="H27" s="11">
        <v>96101</v>
      </c>
      <c r="I27" s="13" t="s">
        <v>18</v>
      </c>
      <c r="J27" s="26" t="str">
        <f>_xlfn.XLOOKUP(C27,EmployeeMaster!$A$1:$A$9,EmployeeMaster!$C$1:$C$9)</f>
        <v>Marketing</v>
      </c>
      <c r="K27" t="str">
        <f>IFERROR(_xlfn.XLOOKUP(C27,EmployeeMaster!$A$1:$A$9,EmployeeMaster!$B$1:$B$9),"not found")</f>
        <v>Raj Mehta</v>
      </c>
      <c r="L27" t="str">
        <f>IFERROR(_xlfn.XLOOKUP(C27,EmployeeMaster!$A$1:$A$9,EmployeeMaster!$D$1:$D$9,"not found",0),"not found")</f>
        <v>Marketing Lead</v>
      </c>
      <c r="M27" t="str">
        <f>IFERROR(_xlfn.XLOOKUP(C27,EmployeeMaster!$A$1:$A$9,EmployeeMaster!$E$1:$E$9),"not found")</f>
        <v>South</v>
      </c>
      <c r="N27" s="30">
        <f t="shared" si="0"/>
        <v>99.345480275959659</v>
      </c>
      <c r="O27">
        <f>_xlfn.XLOOKUP(M27,RegionBenchmarks!$A$1:$A$6,RegionBenchmarks!$B$1:$B$6)</f>
        <v>60000</v>
      </c>
    </row>
    <row r="28" spans="1:15" ht="18" customHeight="1" x14ac:dyDescent="0.35">
      <c r="A28" s="9">
        <v>177349</v>
      </c>
      <c r="B28" s="10">
        <v>45208</v>
      </c>
      <c r="C28" s="11" t="s">
        <v>14</v>
      </c>
      <c r="D28" s="12" t="s">
        <v>61</v>
      </c>
      <c r="E28" s="11" t="s">
        <v>56</v>
      </c>
      <c r="F28" s="11">
        <v>38</v>
      </c>
      <c r="G28" s="11">
        <v>54910</v>
      </c>
      <c r="H28" s="11">
        <v>57319</v>
      </c>
      <c r="I28" s="13" t="s">
        <v>18</v>
      </c>
      <c r="J28" s="26" t="str">
        <f>_xlfn.XLOOKUP(C28,EmployeeMaster!$A$1:$A$9,EmployeeMaster!$C$1:$C$9)</f>
        <v>Marketing</v>
      </c>
      <c r="K28" t="str">
        <f>IFERROR(_xlfn.XLOOKUP(C28,EmployeeMaster!$A$1:$A$9,EmployeeMaster!$B$1:$B$9),"not found")</f>
        <v>Raj Mehta</v>
      </c>
      <c r="L28" t="str">
        <f>IFERROR(_xlfn.XLOOKUP(C28,EmployeeMaster!$A$1:$A$9,EmployeeMaster!$D$1:$D$9,"not found",0),"not found")</f>
        <v>Marketing Lead</v>
      </c>
      <c r="M28" t="str">
        <f>IFERROR(_xlfn.XLOOKUP(C28,EmployeeMaster!$A$1:$A$9,EmployeeMaster!$E$1:$E$9),"not found")</f>
        <v>South</v>
      </c>
      <c r="N28" s="30">
        <f t="shared" si="0"/>
        <v>95.797205115232302</v>
      </c>
      <c r="O28">
        <f>_xlfn.XLOOKUP(M28,RegionBenchmarks!$A$1:$A$6,RegionBenchmarks!$B$1:$B$6)</f>
        <v>60000</v>
      </c>
    </row>
    <row r="29" spans="1:15" ht="18" customHeight="1" x14ac:dyDescent="0.35">
      <c r="A29" s="9">
        <v>717424</v>
      </c>
      <c r="B29" s="10">
        <v>45206</v>
      </c>
      <c r="C29" s="11" t="s">
        <v>32</v>
      </c>
      <c r="D29" s="12" t="s">
        <v>61</v>
      </c>
      <c r="E29" s="11" t="s">
        <v>56</v>
      </c>
      <c r="F29" s="11">
        <v>52</v>
      </c>
      <c r="G29" s="11">
        <v>92560</v>
      </c>
      <c r="H29" s="11">
        <v>94633</v>
      </c>
      <c r="I29" s="13" t="s">
        <v>35</v>
      </c>
      <c r="J29" s="26" t="str">
        <f>_xlfn.XLOOKUP(C29,EmployeeMaster!$A$1:$A$9,EmployeeMaster!$C$1:$C$9)</f>
        <v>Sales</v>
      </c>
      <c r="K29" t="str">
        <f>IFERROR(_xlfn.XLOOKUP(C29,EmployeeMaster!$A$1:$A$9,EmployeeMaster!$B$1:$B$9),"not found")</f>
        <v>Joe Lyn</v>
      </c>
      <c r="L29" t="str">
        <f>IFERROR(_xlfn.XLOOKUP(C29,EmployeeMaster!$A$1:$A$9,EmployeeMaster!$D$1:$D$9,"not found",0),"not found")</f>
        <v>Sales Associate</v>
      </c>
      <c r="M29" t="str">
        <f>IFERROR(_xlfn.XLOOKUP(C29,EmployeeMaster!$A$1:$A$9,EmployeeMaster!$E$1:$E$9),"not found")</f>
        <v>Central</v>
      </c>
      <c r="N29" s="30">
        <f t="shared" si="0"/>
        <v>97.809432227658434</v>
      </c>
      <c r="O29">
        <f>_xlfn.XLOOKUP(M29,RegionBenchmarks!$A$1:$A$6,RegionBenchmarks!$B$1:$B$6)</f>
        <v>45000</v>
      </c>
    </row>
    <row r="30" spans="1:15" ht="18" customHeight="1" x14ac:dyDescent="0.35">
      <c r="A30" s="9">
        <v>627211</v>
      </c>
      <c r="B30" s="10">
        <v>44971</v>
      </c>
      <c r="C30" s="11" t="s">
        <v>32</v>
      </c>
      <c r="D30" s="12" t="s">
        <v>61</v>
      </c>
      <c r="E30" s="11" t="s">
        <v>56</v>
      </c>
      <c r="F30" s="11">
        <v>60</v>
      </c>
      <c r="G30" s="11">
        <v>91140</v>
      </c>
      <c r="H30" s="11">
        <v>86163</v>
      </c>
      <c r="I30" s="13" t="s">
        <v>35</v>
      </c>
      <c r="J30" s="26" t="str">
        <f>_xlfn.XLOOKUP(C30,EmployeeMaster!$A$1:$A$9,EmployeeMaster!$C$1:$C$9)</f>
        <v>Sales</v>
      </c>
      <c r="K30" t="str">
        <f>IFERROR(_xlfn.XLOOKUP(C30,EmployeeMaster!$A$1:$A$9,EmployeeMaster!$B$1:$B$9),"not found")</f>
        <v>Joe Lyn</v>
      </c>
      <c r="L30" t="str">
        <f>IFERROR(_xlfn.XLOOKUP(C30,EmployeeMaster!$A$1:$A$9,EmployeeMaster!$D$1:$D$9,"not found",0),"not found")</f>
        <v>Sales Associate</v>
      </c>
      <c r="M30" t="str">
        <f>IFERROR(_xlfn.XLOOKUP(C30,EmployeeMaster!$A$1:$A$9,EmployeeMaster!$E$1:$E$9),"not found")</f>
        <v>Central</v>
      </c>
      <c r="N30" s="30">
        <f t="shared" si="0"/>
        <v>105.77626127223982</v>
      </c>
      <c r="O30">
        <f>_xlfn.XLOOKUP(M30,RegionBenchmarks!$A$1:$A$6,RegionBenchmarks!$B$1:$B$6)</f>
        <v>45000</v>
      </c>
    </row>
    <row r="31" spans="1:15" ht="18" customHeight="1" x14ac:dyDescent="0.35">
      <c r="A31" s="9">
        <v>253564</v>
      </c>
      <c r="B31" s="10">
        <v>45011</v>
      </c>
      <c r="C31" s="11" t="s">
        <v>37</v>
      </c>
      <c r="D31" s="12" t="s">
        <v>61</v>
      </c>
      <c r="E31" s="11" t="s">
        <v>56</v>
      </c>
      <c r="F31" s="11">
        <v>30</v>
      </c>
      <c r="G31" s="11">
        <v>46560</v>
      </c>
      <c r="H31" s="11">
        <v>38803</v>
      </c>
      <c r="I31" s="13" t="s">
        <v>18</v>
      </c>
      <c r="J31" s="26" t="str">
        <f>_xlfn.XLOOKUP(C31,EmployeeMaster!$A$1:$A$9,EmployeeMaster!$C$1:$C$9)</f>
        <v>Sales</v>
      </c>
      <c r="K31" t="str">
        <f>IFERROR(_xlfn.XLOOKUP(C31,EmployeeMaster!$A$1:$A$9,EmployeeMaster!$B$1:$B$9),"not found")</f>
        <v>Fatima Zhang</v>
      </c>
      <c r="L31" t="str">
        <f>IFERROR(_xlfn.XLOOKUP(C31,EmployeeMaster!$A$1:$A$9,EmployeeMaster!$D$1:$D$9,"not found",0),"not found")</f>
        <v>Sales Executive</v>
      </c>
      <c r="M31" t="str">
        <f>IFERROR(_xlfn.XLOOKUP(C31,EmployeeMaster!$A$1:$A$9,EmployeeMaster!$E$1:$E$9),"not found")</f>
        <v>South</v>
      </c>
      <c r="N31" s="30">
        <f t="shared" si="0"/>
        <v>119.99072236682731</v>
      </c>
      <c r="O31">
        <f>_xlfn.XLOOKUP(M31,RegionBenchmarks!$A$1:$A$6,RegionBenchmarks!$B$1:$B$6)</f>
        <v>60000</v>
      </c>
    </row>
    <row r="32" spans="1:15" ht="18" customHeight="1" x14ac:dyDescent="0.35">
      <c r="A32" s="9">
        <v>949565</v>
      </c>
      <c r="B32" s="10">
        <v>45092</v>
      </c>
      <c r="C32" s="11" t="s">
        <v>37</v>
      </c>
      <c r="D32" s="12" t="s">
        <v>61</v>
      </c>
      <c r="E32" s="11" t="s">
        <v>58</v>
      </c>
      <c r="F32" s="11">
        <v>51</v>
      </c>
      <c r="G32" s="11">
        <v>51969</v>
      </c>
      <c r="H32" s="11">
        <v>55137</v>
      </c>
      <c r="I32" s="13" t="s">
        <v>18</v>
      </c>
      <c r="J32" s="26" t="str">
        <f>_xlfn.XLOOKUP(C32,EmployeeMaster!$A$1:$A$9,EmployeeMaster!$C$1:$C$9)</f>
        <v>Sales</v>
      </c>
      <c r="K32" t="str">
        <f>IFERROR(_xlfn.XLOOKUP(C32,EmployeeMaster!$A$1:$A$9,EmployeeMaster!$B$1:$B$9),"not found")</f>
        <v>Fatima Zhang</v>
      </c>
      <c r="L32" t="str">
        <f>IFERROR(_xlfn.XLOOKUP(C32,EmployeeMaster!$A$1:$A$9,EmployeeMaster!$D$1:$D$9,"not found",0),"not found")</f>
        <v>Sales Executive</v>
      </c>
      <c r="M32" t="str">
        <f>IFERROR(_xlfn.XLOOKUP(C32,EmployeeMaster!$A$1:$A$9,EmployeeMaster!$E$1:$E$9),"not found")</f>
        <v>South</v>
      </c>
      <c r="N32" s="30">
        <f t="shared" si="0"/>
        <v>94.254311986506337</v>
      </c>
      <c r="O32">
        <f>_xlfn.XLOOKUP(M32,RegionBenchmarks!$A$1:$A$6,RegionBenchmarks!$B$1:$B$6)</f>
        <v>60000</v>
      </c>
    </row>
    <row r="33" spans="1:15" ht="18" customHeight="1" x14ac:dyDescent="0.35">
      <c r="A33" s="9">
        <v>756995</v>
      </c>
      <c r="B33" s="10">
        <v>45068</v>
      </c>
      <c r="C33" s="11" t="s">
        <v>26</v>
      </c>
      <c r="D33" s="12" t="s">
        <v>61</v>
      </c>
      <c r="E33" s="11" t="s">
        <v>56</v>
      </c>
      <c r="F33" s="11">
        <v>23</v>
      </c>
      <c r="G33" s="11">
        <v>28658</v>
      </c>
      <c r="H33" s="11">
        <v>19273</v>
      </c>
      <c r="I33" s="13" t="s">
        <v>30</v>
      </c>
      <c r="J33" s="26" t="str">
        <f>_xlfn.XLOOKUP(C33,EmployeeMaster!$A$1:$A$9,EmployeeMaster!$C$1:$C$9)</f>
        <v>Operations</v>
      </c>
      <c r="K33" t="str">
        <f>IFERROR(_xlfn.XLOOKUP(C33,EmployeeMaster!$A$1:$A$9,EmployeeMaster!$B$1:$B$9),"not found")</f>
        <v>Christi Davis</v>
      </c>
      <c r="L33" t="str">
        <f>IFERROR(_xlfn.XLOOKUP(C33,EmployeeMaster!$A$1:$A$9,EmployeeMaster!$D$1:$D$9,"not found",0),"not found")</f>
        <v>Ops Manager</v>
      </c>
      <c r="M33" t="str">
        <f>IFERROR(_xlfn.XLOOKUP(C33,EmployeeMaster!$A$1:$A$9,EmployeeMaster!$E$1:$E$9),"not found")</f>
        <v>West</v>
      </c>
      <c r="N33" s="30">
        <f t="shared" si="0"/>
        <v>148.69506563586364</v>
      </c>
      <c r="O33">
        <f>_xlfn.XLOOKUP(M33,RegionBenchmarks!$A$1:$A$6,RegionBenchmarks!$B$1:$B$6)</f>
        <v>55000</v>
      </c>
    </row>
    <row r="34" spans="1:15" ht="18" customHeight="1" x14ac:dyDescent="0.35">
      <c r="A34" s="9">
        <v>808505</v>
      </c>
      <c r="B34" s="10">
        <v>45250</v>
      </c>
      <c r="C34" s="11" t="s">
        <v>14</v>
      </c>
      <c r="D34" s="12" t="s">
        <v>61</v>
      </c>
      <c r="E34" s="11" t="s">
        <v>56</v>
      </c>
      <c r="F34" s="11">
        <v>51</v>
      </c>
      <c r="G34" s="11">
        <v>93585</v>
      </c>
      <c r="H34" s="11">
        <v>97452</v>
      </c>
      <c r="I34" s="13" t="s">
        <v>18</v>
      </c>
      <c r="J34" s="26" t="str">
        <f>_xlfn.XLOOKUP(C34,EmployeeMaster!$A$1:$A$9,EmployeeMaster!$C$1:$C$9)</f>
        <v>Marketing</v>
      </c>
      <c r="K34" t="str">
        <f>IFERROR(_xlfn.XLOOKUP(C34,EmployeeMaster!$A$1:$A$9,EmployeeMaster!$B$1:$B$9),"not found")</f>
        <v>Raj Mehta</v>
      </c>
      <c r="L34" t="str">
        <f>IFERROR(_xlfn.XLOOKUP(C34,EmployeeMaster!$A$1:$A$9,EmployeeMaster!$D$1:$D$9,"not found",0),"not found")</f>
        <v>Marketing Lead</v>
      </c>
      <c r="M34" t="str">
        <f>IFERROR(_xlfn.XLOOKUP(C34,EmployeeMaster!$A$1:$A$9,EmployeeMaster!$E$1:$E$9),"not found")</f>
        <v>South</v>
      </c>
      <c r="N34" s="30">
        <f t="shared" si="0"/>
        <v>96.031892624061072</v>
      </c>
      <c r="O34">
        <f>_xlfn.XLOOKUP(M34,RegionBenchmarks!$A$1:$A$6,RegionBenchmarks!$B$1:$B$6)</f>
        <v>60000</v>
      </c>
    </row>
    <row r="35" spans="1:15" ht="18" customHeight="1" x14ac:dyDescent="0.35">
      <c r="A35" s="9">
        <v>870287</v>
      </c>
      <c r="B35" s="10">
        <v>45282</v>
      </c>
      <c r="C35" s="11" t="s">
        <v>20</v>
      </c>
      <c r="D35" s="12" t="s">
        <v>62</v>
      </c>
      <c r="E35" s="11" t="s">
        <v>58</v>
      </c>
      <c r="F35" s="11">
        <v>50</v>
      </c>
      <c r="G35" s="11">
        <v>98450</v>
      </c>
      <c r="H35" s="11">
        <v>94443</v>
      </c>
      <c r="I35" s="13" t="s">
        <v>23</v>
      </c>
      <c r="J35" s="26" t="str">
        <f>_xlfn.XLOOKUP(C35,EmployeeMaster!$A$1:$A$9,EmployeeMaster!$C$1:$C$9)</f>
        <v>Sales</v>
      </c>
      <c r="K35" t="str">
        <f>IFERROR(_xlfn.XLOOKUP(C35,EmployeeMaster!$A$1:$A$9,EmployeeMaster!$B$1:$B$9),"not found")</f>
        <v>Ronn Robinson</v>
      </c>
      <c r="L35" t="str">
        <f>IFERROR(_xlfn.XLOOKUP(C35,EmployeeMaster!$A$1:$A$9,EmployeeMaster!$D$1:$D$9,"not found",0),"not found")</f>
        <v>Sr. Sales Exec.</v>
      </c>
      <c r="M35" t="str">
        <f>IFERROR(_xlfn.XLOOKUP(C35,EmployeeMaster!$A$1:$A$9,EmployeeMaster!$E$1:$E$9),"not found")</f>
        <v>East</v>
      </c>
      <c r="N35" s="30">
        <f t="shared" si="0"/>
        <v>104.24277077178827</v>
      </c>
      <c r="O35">
        <f>_xlfn.XLOOKUP(M35,RegionBenchmarks!$A$1:$A$6,RegionBenchmarks!$B$1:$B$6)</f>
        <v>50000</v>
      </c>
    </row>
    <row r="36" spans="1:15" ht="18" customHeight="1" x14ac:dyDescent="0.35">
      <c r="A36" s="9">
        <v>646329</v>
      </c>
      <c r="B36" s="10">
        <v>45130</v>
      </c>
      <c r="C36" s="11" t="s">
        <v>40</v>
      </c>
      <c r="D36" s="12" t="s">
        <v>62</v>
      </c>
      <c r="E36" s="11" t="s">
        <v>57</v>
      </c>
      <c r="F36" s="11">
        <v>33</v>
      </c>
      <c r="G36" s="11">
        <v>64383</v>
      </c>
      <c r="H36" s="11">
        <v>60548</v>
      </c>
      <c r="I36" s="13" t="s">
        <v>11</v>
      </c>
      <c r="J36" s="26" t="str">
        <f>_xlfn.XLOOKUP(C36,EmployeeMaster!$A$1:$A$9,EmployeeMaster!$C$1:$C$9)</f>
        <v>Marketing</v>
      </c>
      <c r="K36" t="str">
        <f>IFERROR(_xlfn.XLOOKUP(C36,EmployeeMaster!$A$1:$A$9,EmployeeMaster!$B$1:$B$9),"not found")</f>
        <v>Martina Brands</v>
      </c>
      <c r="L36" t="str">
        <f>IFERROR(_xlfn.XLOOKUP(C36,EmployeeMaster!$A$1:$A$9,EmployeeMaster!$D$1:$D$9,"not found",0),"not found")</f>
        <v>Brand Manager</v>
      </c>
      <c r="M36" t="str">
        <f>IFERROR(_xlfn.XLOOKUP(C36,EmployeeMaster!$A$1:$A$9,EmployeeMaster!$E$1:$E$9),"not found")</f>
        <v>North</v>
      </c>
      <c r="N36" s="30">
        <f t="shared" si="0"/>
        <v>106.33381779744995</v>
      </c>
      <c r="O36">
        <f>_xlfn.XLOOKUP(M36,RegionBenchmarks!$A$1:$A$6,RegionBenchmarks!$B$1:$B$6)</f>
        <v>68500</v>
      </c>
    </row>
    <row r="37" spans="1:15" ht="18" customHeight="1" x14ac:dyDescent="0.35">
      <c r="A37" s="9">
        <v>236087</v>
      </c>
      <c r="B37" s="10">
        <v>45216</v>
      </c>
      <c r="C37" s="11" t="s">
        <v>26</v>
      </c>
      <c r="D37" s="12" t="s">
        <v>62</v>
      </c>
      <c r="E37" s="11" t="s">
        <v>58</v>
      </c>
      <c r="F37" s="11">
        <v>39</v>
      </c>
      <c r="G37" s="11">
        <v>54912</v>
      </c>
      <c r="H37" s="11">
        <v>48908</v>
      </c>
      <c r="I37" s="13" t="s">
        <v>30</v>
      </c>
      <c r="J37" s="26" t="str">
        <f>_xlfn.XLOOKUP(C37,EmployeeMaster!$A$1:$A$9,EmployeeMaster!$C$1:$C$9)</f>
        <v>Operations</v>
      </c>
      <c r="K37" t="str">
        <f>IFERROR(_xlfn.XLOOKUP(C37,EmployeeMaster!$A$1:$A$9,EmployeeMaster!$B$1:$B$9),"not found")</f>
        <v>Christi Davis</v>
      </c>
      <c r="L37" t="str">
        <f>IFERROR(_xlfn.XLOOKUP(C37,EmployeeMaster!$A$1:$A$9,EmployeeMaster!$D$1:$D$9,"not found",0),"not found")</f>
        <v>Ops Manager</v>
      </c>
      <c r="M37" t="str">
        <f>IFERROR(_xlfn.XLOOKUP(C37,EmployeeMaster!$A$1:$A$9,EmployeeMaster!$E$1:$E$9),"not found")</f>
        <v>West</v>
      </c>
      <c r="N37" s="30">
        <f t="shared" si="0"/>
        <v>112.27611024781221</v>
      </c>
      <c r="O37">
        <f>_xlfn.XLOOKUP(M37,RegionBenchmarks!$A$1:$A$6,RegionBenchmarks!$B$1:$B$6)</f>
        <v>55000</v>
      </c>
    </row>
    <row r="38" spans="1:15" ht="18" customHeight="1" x14ac:dyDescent="0.35">
      <c r="A38" s="9">
        <v>396076</v>
      </c>
      <c r="B38" s="10">
        <v>45160</v>
      </c>
      <c r="C38" s="11" t="s">
        <v>44</v>
      </c>
      <c r="D38" s="12" t="s">
        <v>62</v>
      </c>
      <c r="E38" s="11" t="s">
        <v>56</v>
      </c>
      <c r="F38" s="11">
        <v>53</v>
      </c>
      <c r="G38" s="11">
        <v>77486</v>
      </c>
      <c r="H38" s="11">
        <v>80504</v>
      </c>
      <c r="I38" s="13" t="s">
        <v>23</v>
      </c>
      <c r="J38" s="26" t="str">
        <f>_xlfn.XLOOKUP(C38,EmployeeMaster!$A$1:$A$9,EmployeeMaster!$C$1:$C$9)</f>
        <v>Sales</v>
      </c>
      <c r="K38" t="str">
        <f>IFERROR(_xlfn.XLOOKUP(C38,EmployeeMaster!$A$1:$A$9,EmployeeMaster!$B$1:$B$9),"not found")</f>
        <v>John Taylor</v>
      </c>
      <c r="L38" t="str">
        <f>IFERROR(_xlfn.XLOOKUP(C38,EmployeeMaster!$A$1:$A$9,EmployeeMaster!$D$1:$D$9,"not found",0),"not found")</f>
        <v>Sales Manager</v>
      </c>
      <c r="M38" t="str">
        <f>IFERROR(_xlfn.XLOOKUP(C38,EmployeeMaster!$A$1:$A$9,EmployeeMaster!$E$1:$E$9),"not found")</f>
        <v>East</v>
      </c>
      <c r="N38" s="30">
        <f t="shared" si="0"/>
        <v>96.25111795687171</v>
      </c>
      <c r="O38">
        <f>_xlfn.XLOOKUP(M38,RegionBenchmarks!$A$1:$A$6,RegionBenchmarks!$B$1:$B$6)</f>
        <v>50000</v>
      </c>
    </row>
    <row r="39" spans="1:15" ht="18" customHeight="1" x14ac:dyDescent="0.35">
      <c r="A39" s="9">
        <v>669417</v>
      </c>
      <c r="B39" s="10">
        <v>45262</v>
      </c>
      <c r="C39" s="11" t="s">
        <v>14</v>
      </c>
      <c r="D39" s="12" t="s">
        <v>62</v>
      </c>
      <c r="E39" s="11" t="s">
        <v>56</v>
      </c>
      <c r="F39" s="11">
        <v>41</v>
      </c>
      <c r="G39" s="11">
        <v>41861</v>
      </c>
      <c r="H39" s="11">
        <v>37223</v>
      </c>
      <c r="I39" s="13" t="s">
        <v>18</v>
      </c>
      <c r="J39" s="26" t="str">
        <f>_xlfn.XLOOKUP(C39,EmployeeMaster!$A$1:$A$9,EmployeeMaster!$C$1:$C$9)</f>
        <v>Marketing</v>
      </c>
      <c r="K39" t="str">
        <f>IFERROR(_xlfn.XLOOKUP(C39,EmployeeMaster!$A$1:$A$9,EmployeeMaster!$B$1:$B$9),"not found")</f>
        <v>Raj Mehta</v>
      </c>
      <c r="L39" t="str">
        <f>IFERROR(_xlfn.XLOOKUP(C39,EmployeeMaster!$A$1:$A$9,EmployeeMaster!$D$1:$D$9,"not found",0),"not found")</f>
        <v>Marketing Lead</v>
      </c>
      <c r="M39" t="str">
        <f>IFERROR(_xlfn.XLOOKUP(C39,EmployeeMaster!$A$1:$A$9,EmployeeMaster!$E$1:$E$9),"not found")</f>
        <v>South</v>
      </c>
      <c r="N39" s="30">
        <f t="shared" si="0"/>
        <v>112.4600381484566</v>
      </c>
      <c r="O39">
        <f>_xlfn.XLOOKUP(M39,RegionBenchmarks!$A$1:$A$6,RegionBenchmarks!$B$1:$B$6)</f>
        <v>60000</v>
      </c>
    </row>
    <row r="40" spans="1:15" ht="18" customHeight="1" x14ac:dyDescent="0.35">
      <c r="A40" s="9">
        <v>624149</v>
      </c>
      <c r="B40" s="10">
        <v>45285</v>
      </c>
      <c r="C40" s="11" t="s">
        <v>26</v>
      </c>
      <c r="D40" s="12" t="s">
        <v>62</v>
      </c>
      <c r="E40" s="11" t="s">
        <v>56</v>
      </c>
      <c r="F40" s="11">
        <v>20</v>
      </c>
      <c r="G40" s="11">
        <v>21440</v>
      </c>
      <c r="H40" s="11">
        <v>14843</v>
      </c>
      <c r="I40" s="13" t="s">
        <v>30</v>
      </c>
      <c r="J40" s="26" t="str">
        <f>_xlfn.XLOOKUP(C40,EmployeeMaster!$A$1:$A$9,EmployeeMaster!$C$1:$C$9)</f>
        <v>Operations</v>
      </c>
      <c r="K40" t="str">
        <f>IFERROR(_xlfn.XLOOKUP(C40,EmployeeMaster!$A$1:$A$9,EmployeeMaster!$B$1:$B$9),"not found")</f>
        <v>Christi Davis</v>
      </c>
      <c r="L40" t="str">
        <f>IFERROR(_xlfn.XLOOKUP(C40,EmployeeMaster!$A$1:$A$9,EmployeeMaster!$D$1:$D$9,"not found",0),"not found")</f>
        <v>Ops Manager</v>
      </c>
      <c r="M40" t="str">
        <f>IFERROR(_xlfn.XLOOKUP(C40,EmployeeMaster!$A$1:$A$9,EmployeeMaster!$E$1:$E$9),"not found")</f>
        <v>West</v>
      </c>
      <c r="N40" s="30">
        <f t="shared" si="0"/>
        <v>144.44519302027891</v>
      </c>
      <c r="O40">
        <f>_xlfn.XLOOKUP(M40,RegionBenchmarks!$A$1:$A$6,RegionBenchmarks!$B$1:$B$6)</f>
        <v>55000</v>
      </c>
    </row>
    <row r="41" spans="1:15" ht="18" customHeight="1" x14ac:dyDescent="0.35">
      <c r="A41" s="9">
        <v>804827</v>
      </c>
      <c r="B41" s="10">
        <v>45192</v>
      </c>
      <c r="C41" s="11" t="s">
        <v>26</v>
      </c>
      <c r="D41" s="12" t="s">
        <v>62</v>
      </c>
      <c r="E41" s="11" t="s">
        <v>56</v>
      </c>
      <c r="F41" s="11">
        <v>24</v>
      </c>
      <c r="G41" s="11">
        <v>46248</v>
      </c>
      <c r="H41" s="11">
        <v>50734</v>
      </c>
      <c r="I41" s="13" t="s">
        <v>30</v>
      </c>
      <c r="J41" s="26" t="str">
        <f>_xlfn.XLOOKUP(C41,EmployeeMaster!$A$1:$A$9,EmployeeMaster!$C$1:$C$9)</f>
        <v>Operations</v>
      </c>
      <c r="K41" t="str">
        <f>IFERROR(_xlfn.XLOOKUP(C41,EmployeeMaster!$A$1:$A$9,EmployeeMaster!$B$1:$B$9),"not found")</f>
        <v>Christi Davis</v>
      </c>
      <c r="L41" t="str">
        <f>IFERROR(_xlfn.XLOOKUP(C41,EmployeeMaster!$A$1:$A$9,EmployeeMaster!$D$1:$D$9,"not found",0),"not found")</f>
        <v>Ops Manager</v>
      </c>
      <c r="M41" t="str">
        <f>IFERROR(_xlfn.XLOOKUP(C41,EmployeeMaster!$A$1:$A$9,EmployeeMaster!$E$1:$E$9),"not found")</f>
        <v>West</v>
      </c>
      <c r="N41" s="30">
        <f t="shared" si="0"/>
        <v>91.157803445421209</v>
      </c>
      <c r="O41">
        <f>_xlfn.XLOOKUP(M41,RegionBenchmarks!$A$1:$A$6,RegionBenchmarks!$B$1:$B$6)</f>
        <v>55000</v>
      </c>
    </row>
    <row r="42" spans="1:15" ht="18" customHeight="1" x14ac:dyDescent="0.35">
      <c r="A42" s="9">
        <v>428406</v>
      </c>
      <c r="B42" s="10">
        <v>45123</v>
      </c>
      <c r="C42" s="11" t="s">
        <v>26</v>
      </c>
      <c r="D42" s="12" t="s">
        <v>62</v>
      </c>
      <c r="E42" s="11" t="s">
        <v>57</v>
      </c>
      <c r="F42" s="11">
        <v>37</v>
      </c>
      <c r="G42" s="11">
        <v>62345</v>
      </c>
      <c r="H42" s="11">
        <v>59392</v>
      </c>
      <c r="I42" s="13" t="s">
        <v>30</v>
      </c>
      <c r="J42" s="26" t="str">
        <f>_xlfn.XLOOKUP(C42,EmployeeMaster!$A$1:$A$9,EmployeeMaster!$C$1:$C$9)</f>
        <v>Operations</v>
      </c>
      <c r="K42" t="str">
        <f>IFERROR(_xlfn.XLOOKUP(C42,EmployeeMaster!$A$1:$A$9,EmployeeMaster!$B$1:$B$9),"not found")</f>
        <v>Christi Davis</v>
      </c>
      <c r="L42" t="str">
        <f>IFERROR(_xlfn.XLOOKUP(C42,EmployeeMaster!$A$1:$A$9,EmployeeMaster!$D$1:$D$9,"not found",0),"not found")</f>
        <v>Ops Manager</v>
      </c>
      <c r="M42" t="str">
        <f>IFERROR(_xlfn.XLOOKUP(C42,EmployeeMaster!$A$1:$A$9,EmployeeMaster!$E$1:$E$9),"not found")</f>
        <v>West</v>
      </c>
      <c r="N42" s="30">
        <f t="shared" si="0"/>
        <v>104.97205010775863</v>
      </c>
      <c r="O42">
        <f>_xlfn.XLOOKUP(M42,RegionBenchmarks!$A$1:$A$6,RegionBenchmarks!$B$1:$B$6)</f>
        <v>55000</v>
      </c>
    </row>
    <row r="43" spans="1:15" ht="18" customHeight="1" x14ac:dyDescent="0.35">
      <c r="A43" s="9">
        <v>429678</v>
      </c>
      <c r="B43" s="10">
        <v>44962</v>
      </c>
      <c r="C43" s="11" t="s">
        <v>20</v>
      </c>
      <c r="D43" s="12" t="s">
        <v>62</v>
      </c>
      <c r="E43" s="11" t="s">
        <v>58</v>
      </c>
      <c r="F43" s="11">
        <v>56</v>
      </c>
      <c r="G43" s="11">
        <v>89040</v>
      </c>
      <c r="H43" s="11">
        <v>86296</v>
      </c>
      <c r="I43" s="13" t="s">
        <v>23</v>
      </c>
      <c r="J43" s="26" t="str">
        <f>_xlfn.XLOOKUP(C43,EmployeeMaster!$A$1:$A$9,EmployeeMaster!$C$1:$C$9)</f>
        <v>Sales</v>
      </c>
      <c r="K43" t="str">
        <f>IFERROR(_xlfn.XLOOKUP(C43,EmployeeMaster!$A$1:$A$9,EmployeeMaster!$B$1:$B$9),"not found")</f>
        <v>Ronn Robinson</v>
      </c>
      <c r="L43" t="str">
        <f>IFERROR(_xlfn.XLOOKUP(C43,EmployeeMaster!$A$1:$A$9,EmployeeMaster!$D$1:$D$9,"not found",0),"not found")</f>
        <v>Sr. Sales Exec.</v>
      </c>
      <c r="M43" t="str">
        <f>IFERROR(_xlfn.XLOOKUP(C43,EmployeeMaster!$A$1:$A$9,EmployeeMaster!$E$1:$E$9),"not found")</f>
        <v>East</v>
      </c>
      <c r="N43" s="30">
        <f t="shared" si="0"/>
        <v>103.17975340687866</v>
      </c>
      <c r="O43">
        <f>_xlfn.XLOOKUP(M43,RegionBenchmarks!$A$1:$A$6,RegionBenchmarks!$B$1:$B$6)</f>
        <v>50000</v>
      </c>
    </row>
    <row r="44" spans="1:15" ht="18" customHeight="1" x14ac:dyDescent="0.35">
      <c r="A44" s="9">
        <v>491866</v>
      </c>
      <c r="B44" s="10">
        <v>45278</v>
      </c>
      <c r="C44" s="11" t="s">
        <v>40</v>
      </c>
      <c r="D44" s="12" t="s">
        <v>63</v>
      </c>
      <c r="E44" s="11" t="s">
        <v>58</v>
      </c>
      <c r="F44" s="11">
        <v>32</v>
      </c>
      <c r="G44" s="11">
        <v>35072</v>
      </c>
      <c r="H44" s="11">
        <v>38484</v>
      </c>
      <c r="I44" s="13" t="s">
        <v>11</v>
      </c>
      <c r="J44" s="26" t="str">
        <f>_xlfn.XLOOKUP(C44,EmployeeMaster!$A$1:$A$9,EmployeeMaster!$C$1:$C$9)</f>
        <v>Marketing</v>
      </c>
      <c r="K44" t="str">
        <f>IFERROR(_xlfn.XLOOKUP(C44,EmployeeMaster!$A$1:$A$9,EmployeeMaster!$B$1:$B$9),"not found")</f>
        <v>Martina Brands</v>
      </c>
      <c r="L44" t="str">
        <f>IFERROR(_xlfn.XLOOKUP(C44,EmployeeMaster!$A$1:$A$9,EmployeeMaster!$D$1:$D$9,"not found",0),"not found")</f>
        <v>Brand Manager</v>
      </c>
      <c r="M44" t="str">
        <f>IFERROR(_xlfn.XLOOKUP(C44,EmployeeMaster!$A$1:$A$9,EmployeeMaster!$E$1:$E$9),"not found")</f>
        <v>North</v>
      </c>
      <c r="N44" s="30">
        <f t="shared" si="0"/>
        <v>91.133977756989921</v>
      </c>
      <c r="O44">
        <f>_xlfn.XLOOKUP(M44,RegionBenchmarks!$A$1:$A$6,RegionBenchmarks!$B$1:$B$6)</f>
        <v>68500</v>
      </c>
    </row>
    <row r="45" spans="1:15" ht="18" customHeight="1" x14ac:dyDescent="0.35">
      <c r="A45" s="9">
        <v>911594</v>
      </c>
      <c r="B45" s="10">
        <v>45088</v>
      </c>
      <c r="C45" s="11" t="s">
        <v>37</v>
      </c>
      <c r="D45" s="12" t="s">
        <v>63</v>
      </c>
      <c r="E45" s="11" t="s">
        <v>56</v>
      </c>
      <c r="F45" s="11">
        <v>47</v>
      </c>
      <c r="G45" s="11">
        <v>66740</v>
      </c>
      <c r="H45" s="11">
        <v>64089</v>
      </c>
      <c r="I45" s="13" t="s">
        <v>18</v>
      </c>
      <c r="J45" s="26" t="str">
        <f>_xlfn.XLOOKUP(C45,EmployeeMaster!$A$1:$A$9,EmployeeMaster!$C$1:$C$9)</f>
        <v>Sales</v>
      </c>
      <c r="K45" t="str">
        <f>IFERROR(_xlfn.XLOOKUP(C45,EmployeeMaster!$A$1:$A$9,EmployeeMaster!$B$1:$B$9),"not found")</f>
        <v>Fatima Zhang</v>
      </c>
      <c r="L45" t="str">
        <f>IFERROR(_xlfn.XLOOKUP(C45,EmployeeMaster!$A$1:$A$9,EmployeeMaster!$D$1:$D$9,"not found",0),"not found")</f>
        <v>Sales Executive</v>
      </c>
      <c r="M45" t="str">
        <f>IFERROR(_xlfn.XLOOKUP(C45,EmployeeMaster!$A$1:$A$9,EmployeeMaster!$E$1:$E$9),"not found")</f>
        <v>South</v>
      </c>
      <c r="N45" s="30">
        <f t="shared" si="0"/>
        <v>104.13643526970307</v>
      </c>
      <c r="O45">
        <f>_xlfn.XLOOKUP(M45,RegionBenchmarks!$A$1:$A$6,RegionBenchmarks!$B$1:$B$6)</f>
        <v>60000</v>
      </c>
    </row>
    <row r="46" spans="1:15" ht="18" customHeight="1" x14ac:dyDescent="0.35">
      <c r="A46" s="9">
        <v>148280</v>
      </c>
      <c r="B46" s="10">
        <v>45264</v>
      </c>
      <c r="C46" s="11" t="s">
        <v>14</v>
      </c>
      <c r="D46" s="12" t="s">
        <v>63</v>
      </c>
      <c r="E46" s="11" t="s">
        <v>56</v>
      </c>
      <c r="F46" s="11">
        <v>23</v>
      </c>
      <c r="G46" s="11">
        <v>32476</v>
      </c>
      <c r="H46" s="11">
        <v>25545</v>
      </c>
      <c r="I46" s="13" t="s">
        <v>18</v>
      </c>
      <c r="J46" s="26" t="str">
        <f>_xlfn.XLOOKUP(C46,EmployeeMaster!$A$1:$A$9,EmployeeMaster!$C$1:$C$9)</f>
        <v>Marketing</v>
      </c>
      <c r="K46" t="str">
        <f>IFERROR(_xlfn.XLOOKUP(C46,EmployeeMaster!$A$1:$A$9,EmployeeMaster!$B$1:$B$9),"not found")</f>
        <v>Raj Mehta</v>
      </c>
      <c r="L46" t="str">
        <f>IFERROR(_xlfn.XLOOKUP(C46,EmployeeMaster!$A$1:$A$9,EmployeeMaster!$D$1:$D$9,"not found",0),"not found")</f>
        <v>Marketing Lead</v>
      </c>
      <c r="M46" t="str">
        <f>IFERROR(_xlfn.XLOOKUP(C46,EmployeeMaster!$A$1:$A$9,EmployeeMaster!$E$1:$E$9),"not found")</f>
        <v>South</v>
      </c>
      <c r="N46" s="30">
        <f t="shared" si="0"/>
        <v>127.13251125464866</v>
      </c>
      <c r="O46">
        <f>_xlfn.XLOOKUP(M46,RegionBenchmarks!$A$1:$A$6,RegionBenchmarks!$B$1:$B$6)</f>
        <v>60000</v>
      </c>
    </row>
    <row r="47" spans="1:15" ht="18" customHeight="1" x14ac:dyDescent="0.35">
      <c r="A47" s="9">
        <v>141868</v>
      </c>
      <c r="B47" s="10">
        <v>45124</v>
      </c>
      <c r="C47" s="11" t="s">
        <v>26</v>
      </c>
      <c r="D47" s="12" t="s">
        <v>63</v>
      </c>
      <c r="E47" s="11" t="s">
        <v>56</v>
      </c>
      <c r="F47" s="11">
        <v>32</v>
      </c>
      <c r="G47" s="11">
        <v>38208</v>
      </c>
      <c r="H47" s="11">
        <v>34422</v>
      </c>
      <c r="I47" s="13" t="s">
        <v>30</v>
      </c>
      <c r="J47" s="26" t="str">
        <f>_xlfn.XLOOKUP(C47,EmployeeMaster!$A$1:$A$9,EmployeeMaster!$C$1:$C$9)</f>
        <v>Operations</v>
      </c>
      <c r="K47" t="str">
        <f>IFERROR(_xlfn.XLOOKUP(C47,EmployeeMaster!$A$1:$A$9,EmployeeMaster!$B$1:$B$9),"not found")</f>
        <v>Christi Davis</v>
      </c>
      <c r="L47" t="str">
        <f>IFERROR(_xlfn.XLOOKUP(C47,EmployeeMaster!$A$1:$A$9,EmployeeMaster!$D$1:$D$9,"not found",0),"not found")</f>
        <v>Ops Manager</v>
      </c>
      <c r="M47" t="str">
        <f>IFERROR(_xlfn.XLOOKUP(C47,EmployeeMaster!$A$1:$A$9,EmployeeMaster!$E$1:$E$9),"not found")</f>
        <v>West</v>
      </c>
      <c r="N47" s="30">
        <f t="shared" si="0"/>
        <v>110.99877985009587</v>
      </c>
      <c r="O47">
        <f>_xlfn.XLOOKUP(M47,RegionBenchmarks!$A$1:$A$6,RegionBenchmarks!$B$1:$B$6)</f>
        <v>55000</v>
      </c>
    </row>
    <row r="48" spans="1:15" ht="18" customHeight="1" x14ac:dyDescent="0.35">
      <c r="A48" s="9">
        <v>961598</v>
      </c>
      <c r="B48" s="10">
        <v>45218</v>
      </c>
      <c r="C48" s="11" t="s">
        <v>40</v>
      </c>
      <c r="D48" s="12" t="s">
        <v>63</v>
      </c>
      <c r="E48" s="11" t="s">
        <v>56</v>
      </c>
      <c r="F48" s="11">
        <v>31</v>
      </c>
      <c r="G48" s="11">
        <v>39835</v>
      </c>
      <c r="H48" s="11">
        <v>37256</v>
      </c>
      <c r="I48" s="13" t="s">
        <v>11</v>
      </c>
      <c r="J48" s="26" t="str">
        <f>_xlfn.XLOOKUP(C48,EmployeeMaster!$A$1:$A$9,EmployeeMaster!$C$1:$C$9)</f>
        <v>Marketing</v>
      </c>
      <c r="K48" t="str">
        <f>IFERROR(_xlfn.XLOOKUP(C48,EmployeeMaster!$A$1:$A$9,EmployeeMaster!$B$1:$B$9),"not found")</f>
        <v>Martina Brands</v>
      </c>
      <c r="L48" t="str">
        <f>IFERROR(_xlfn.XLOOKUP(C48,EmployeeMaster!$A$1:$A$9,EmployeeMaster!$D$1:$D$9,"not found",0),"not found")</f>
        <v>Brand Manager</v>
      </c>
      <c r="M48" t="str">
        <f>IFERROR(_xlfn.XLOOKUP(C48,EmployeeMaster!$A$1:$A$9,EmployeeMaster!$E$1:$E$9),"not found")</f>
        <v>North</v>
      </c>
      <c r="N48" s="30">
        <f t="shared" si="0"/>
        <v>106.92237491947606</v>
      </c>
      <c r="O48">
        <f>_xlfn.XLOOKUP(M48,RegionBenchmarks!$A$1:$A$6,RegionBenchmarks!$B$1:$B$6)</f>
        <v>68500</v>
      </c>
    </row>
    <row r="49" spans="1:15" ht="18" customHeight="1" x14ac:dyDescent="0.35">
      <c r="A49" s="9">
        <v>404058</v>
      </c>
      <c r="B49" s="10">
        <v>45061</v>
      </c>
      <c r="C49" s="11" t="s">
        <v>44</v>
      </c>
      <c r="D49" s="12" t="s">
        <v>63</v>
      </c>
      <c r="E49" s="11" t="s">
        <v>57</v>
      </c>
      <c r="F49" s="11">
        <v>55</v>
      </c>
      <c r="G49" s="11">
        <v>60500</v>
      </c>
      <c r="H49" s="11">
        <v>64672</v>
      </c>
      <c r="I49" s="13" t="s">
        <v>23</v>
      </c>
      <c r="J49" s="26" t="str">
        <f>_xlfn.XLOOKUP(C49,EmployeeMaster!$A$1:$A$9,EmployeeMaster!$C$1:$C$9)</f>
        <v>Sales</v>
      </c>
      <c r="K49" t="str">
        <f>IFERROR(_xlfn.XLOOKUP(C49,EmployeeMaster!$A$1:$A$9,EmployeeMaster!$B$1:$B$9),"not found")</f>
        <v>John Taylor</v>
      </c>
      <c r="L49" t="str">
        <f>IFERROR(_xlfn.XLOOKUP(C49,EmployeeMaster!$A$1:$A$9,EmployeeMaster!$D$1:$D$9,"not found",0),"not found")</f>
        <v>Sales Manager</v>
      </c>
      <c r="M49" t="str">
        <f>IFERROR(_xlfn.XLOOKUP(C49,EmployeeMaster!$A$1:$A$9,EmployeeMaster!$E$1:$E$9),"not found")</f>
        <v>East</v>
      </c>
      <c r="N49" s="30">
        <f t="shared" si="0"/>
        <v>93.548985650667987</v>
      </c>
      <c r="O49">
        <f>_xlfn.XLOOKUP(M49,RegionBenchmarks!$A$1:$A$6,RegionBenchmarks!$B$1:$B$6)</f>
        <v>50000</v>
      </c>
    </row>
    <row r="50" spans="1:15" ht="18" customHeight="1" x14ac:dyDescent="0.35">
      <c r="A50" s="9">
        <v>526748</v>
      </c>
      <c r="B50" s="10">
        <v>44969</v>
      </c>
      <c r="C50" s="11" t="s">
        <v>7</v>
      </c>
      <c r="D50" s="12" t="s">
        <v>63</v>
      </c>
      <c r="E50" s="11" t="s">
        <v>56</v>
      </c>
      <c r="F50" s="11">
        <v>25</v>
      </c>
      <c r="G50" s="11">
        <v>48700</v>
      </c>
      <c r="H50" s="11">
        <v>41354</v>
      </c>
      <c r="I50" s="13" t="s">
        <v>11</v>
      </c>
      <c r="J50" s="26" t="str">
        <f>_xlfn.XLOOKUP(C50,EmployeeMaster!$A$1:$A$9,EmployeeMaster!$C$1:$C$9)</f>
        <v>Sales</v>
      </c>
      <c r="K50" t="str">
        <f>IFERROR(_xlfn.XLOOKUP(C50,EmployeeMaster!$A$1:$A$9,EmployeeMaster!$B$1:$B$9),"not found")</f>
        <v>Lynda Smith</v>
      </c>
      <c r="L50" t="str">
        <f>IFERROR(_xlfn.XLOOKUP(C50,EmployeeMaster!$A$1:$A$9,EmployeeMaster!$D$1:$D$9,"not found",0),"not found")</f>
        <v>Sales Executive</v>
      </c>
      <c r="M50" t="str">
        <f>IFERROR(_xlfn.XLOOKUP(C50,EmployeeMaster!$A$1:$A$9,EmployeeMaster!$E$1:$E$9),"not found")</f>
        <v>North</v>
      </c>
      <c r="N50" s="30">
        <f t="shared" si="0"/>
        <v>117.7636987957634</v>
      </c>
      <c r="O50">
        <f>_xlfn.XLOOKUP(M50,RegionBenchmarks!$A$1:$A$6,RegionBenchmarks!$B$1:$B$6)</f>
        <v>68500</v>
      </c>
    </row>
    <row r="51" spans="1:15" ht="18" customHeight="1" x14ac:dyDescent="0.35">
      <c r="A51" s="9">
        <v>440859</v>
      </c>
      <c r="B51" s="10">
        <v>45201</v>
      </c>
      <c r="C51" s="11" t="s">
        <v>40</v>
      </c>
      <c r="D51" s="12" t="s">
        <v>63</v>
      </c>
      <c r="E51" s="11" t="s">
        <v>56</v>
      </c>
      <c r="F51" s="11">
        <v>51</v>
      </c>
      <c r="G51" s="11">
        <v>76092</v>
      </c>
      <c r="H51" s="11">
        <v>77590</v>
      </c>
      <c r="I51" s="13" t="s">
        <v>11</v>
      </c>
      <c r="J51" s="26" t="str">
        <f>_xlfn.XLOOKUP(C51,EmployeeMaster!$A$1:$A$9,EmployeeMaster!$C$1:$C$9)</f>
        <v>Marketing</v>
      </c>
      <c r="K51" t="str">
        <f>IFERROR(_xlfn.XLOOKUP(C51,EmployeeMaster!$A$1:$A$9,EmployeeMaster!$B$1:$B$9),"not found")</f>
        <v>Martina Brands</v>
      </c>
      <c r="L51" t="str">
        <f>IFERROR(_xlfn.XLOOKUP(C51,EmployeeMaster!$A$1:$A$9,EmployeeMaster!$D$1:$D$9,"not found",0),"not found")</f>
        <v>Brand Manager</v>
      </c>
      <c r="M51" t="str">
        <f>IFERROR(_xlfn.XLOOKUP(C51,EmployeeMaster!$A$1:$A$9,EmployeeMaster!$E$1:$E$9),"not found")</f>
        <v>North</v>
      </c>
      <c r="N51" s="30">
        <f t="shared" si="0"/>
        <v>98.069338832323751</v>
      </c>
      <c r="O51">
        <f>_xlfn.XLOOKUP(M51,RegionBenchmarks!$A$1:$A$6,RegionBenchmarks!$B$1:$B$6)</f>
        <v>68500</v>
      </c>
    </row>
    <row r="52" spans="1:15" ht="18" customHeight="1" x14ac:dyDescent="0.35">
      <c r="A52" s="9">
        <v>703768</v>
      </c>
      <c r="B52" s="10">
        <v>44956</v>
      </c>
      <c r="C52" s="11" t="s">
        <v>20</v>
      </c>
      <c r="D52" s="12" t="s">
        <v>63</v>
      </c>
      <c r="E52" s="11" t="s">
        <v>58</v>
      </c>
      <c r="F52" s="11">
        <v>44</v>
      </c>
      <c r="G52" s="11">
        <v>44088</v>
      </c>
      <c r="H52" s="11">
        <v>42692</v>
      </c>
      <c r="I52" s="13" t="s">
        <v>23</v>
      </c>
      <c r="J52" s="26" t="str">
        <f>_xlfn.XLOOKUP(C52,EmployeeMaster!$A$1:$A$9,EmployeeMaster!$C$1:$C$9)</f>
        <v>Sales</v>
      </c>
      <c r="K52" t="str">
        <f>IFERROR(_xlfn.XLOOKUP(C52,EmployeeMaster!$A$1:$A$9,EmployeeMaster!$B$1:$B$9),"not found")</f>
        <v>Ronn Robinson</v>
      </c>
      <c r="L52" t="str">
        <f>IFERROR(_xlfn.XLOOKUP(C52,EmployeeMaster!$A$1:$A$9,EmployeeMaster!$D$1:$D$9,"not found",0),"not found")</f>
        <v>Sr. Sales Exec.</v>
      </c>
      <c r="M52" t="str">
        <f>IFERROR(_xlfn.XLOOKUP(C52,EmployeeMaster!$A$1:$A$9,EmployeeMaster!$E$1:$E$9),"not found")</f>
        <v>East</v>
      </c>
      <c r="N52" s="30">
        <f t="shared" si="0"/>
        <v>103.26993347699802</v>
      </c>
      <c r="O52">
        <f>_xlfn.XLOOKUP(M52,RegionBenchmarks!$A$1:$A$6,RegionBenchmarks!$B$1:$B$6)</f>
        <v>50000</v>
      </c>
    </row>
    <row r="53" spans="1:15" ht="18" customHeight="1" x14ac:dyDescent="0.35">
      <c r="A53" s="9">
        <v>715404</v>
      </c>
      <c r="B53" s="10">
        <v>45289</v>
      </c>
      <c r="C53" s="11" t="s">
        <v>32</v>
      </c>
      <c r="D53" s="12" t="s">
        <v>64</v>
      </c>
      <c r="E53" s="11" t="s">
        <v>57</v>
      </c>
      <c r="F53" s="11">
        <v>47</v>
      </c>
      <c r="G53" s="11">
        <v>80511</v>
      </c>
      <c r="H53" s="11">
        <v>73543</v>
      </c>
      <c r="I53" s="13" t="s">
        <v>35</v>
      </c>
      <c r="J53" s="26" t="str">
        <f>_xlfn.XLOOKUP(C53,EmployeeMaster!$A$1:$A$9,EmployeeMaster!$C$1:$C$9)</f>
        <v>Sales</v>
      </c>
      <c r="K53" t="str">
        <f>IFERROR(_xlfn.XLOOKUP(C53,EmployeeMaster!$A$1:$A$9,EmployeeMaster!$B$1:$B$9),"not found")</f>
        <v>Joe Lyn</v>
      </c>
      <c r="L53" t="str">
        <f>IFERROR(_xlfn.XLOOKUP(C53,EmployeeMaster!$A$1:$A$9,EmployeeMaster!$D$1:$D$9,"not found",0),"not found")</f>
        <v>Sales Associate</v>
      </c>
      <c r="M53" t="str">
        <f>IFERROR(_xlfn.XLOOKUP(C53,EmployeeMaster!$A$1:$A$9,EmployeeMaster!$E$1:$E$9),"not found")</f>
        <v>Central</v>
      </c>
      <c r="N53" s="30">
        <f t="shared" si="0"/>
        <v>109.47472907006785</v>
      </c>
      <c r="O53">
        <f>_xlfn.XLOOKUP(M53,RegionBenchmarks!$A$1:$A$6,RegionBenchmarks!$B$1:$B$6)</f>
        <v>45000</v>
      </c>
    </row>
    <row r="54" spans="1:15" ht="18" customHeight="1" x14ac:dyDescent="0.35">
      <c r="A54" s="9">
        <v>321701</v>
      </c>
      <c r="B54" s="10">
        <v>44991</v>
      </c>
      <c r="C54" s="11" t="s">
        <v>44</v>
      </c>
      <c r="D54" s="12" t="s">
        <v>64</v>
      </c>
      <c r="E54" s="11" t="s">
        <v>56</v>
      </c>
      <c r="F54" s="11">
        <v>29</v>
      </c>
      <c r="G54" s="11">
        <v>34626</v>
      </c>
      <c r="H54" s="11">
        <v>34765</v>
      </c>
      <c r="I54" s="13" t="s">
        <v>23</v>
      </c>
      <c r="J54" s="26" t="str">
        <f>_xlfn.XLOOKUP(C54,EmployeeMaster!$A$1:$A$9,EmployeeMaster!$C$1:$C$9)</f>
        <v>Sales</v>
      </c>
      <c r="K54" t="str">
        <f>IFERROR(_xlfn.XLOOKUP(C54,EmployeeMaster!$A$1:$A$9,EmployeeMaster!$B$1:$B$9),"not found")</f>
        <v>John Taylor</v>
      </c>
      <c r="L54" t="str">
        <f>IFERROR(_xlfn.XLOOKUP(C54,EmployeeMaster!$A$1:$A$9,EmployeeMaster!$D$1:$D$9,"not found",0),"not found")</f>
        <v>Sales Manager</v>
      </c>
      <c r="M54" t="str">
        <f>IFERROR(_xlfn.XLOOKUP(C54,EmployeeMaster!$A$1:$A$9,EmployeeMaster!$E$1:$E$9),"not found")</f>
        <v>East</v>
      </c>
      <c r="N54" s="30">
        <f t="shared" si="0"/>
        <v>99.600172587372356</v>
      </c>
      <c r="O54">
        <f>_xlfn.XLOOKUP(M54,RegionBenchmarks!$A$1:$A$6,RegionBenchmarks!$B$1:$B$6)</f>
        <v>50000</v>
      </c>
    </row>
    <row r="55" spans="1:15" ht="18" customHeight="1" x14ac:dyDescent="0.35">
      <c r="A55" s="9">
        <v>638856</v>
      </c>
      <c r="B55" s="10">
        <v>44959</v>
      </c>
      <c r="C55" s="11" t="s">
        <v>7</v>
      </c>
      <c r="D55" s="12" t="s">
        <v>64</v>
      </c>
      <c r="E55" s="11" t="s">
        <v>58</v>
      </c>
      <c r="F55" s="11">
        <v>40</v>
      </c>
      <c r="G55" s="11">
        <v>42320</v>
      </c>
      <c r="H55" s="11">
        <v>46499</v>
      </c>
      <c r="I55" s="13" t="s">
        <v>11</v>
      </c>
      <c r="J55" s="26" t="str">
        <f>_xlfn.XLOOKUP(C55,EmployeeMaster!$A$1:$A$9,EmployeeMaster!$C$1:$C$9)</f>
        <v>Sales</v>
      </c>
      <c r="K55" t="str">
        <f>IFERROR(_xlfn.XLOOKUP(C55,EmployeeMaster!$A$1:$A$9,EmployeeMaster!$B$1:$B$9),"not found")</f>
        <v>Lynda Smith</v>
      </c>
      <c r="L55" t="str">
        <f>IFERROR(_xlfn.XLOOKUP(C55,EmployeeMaster!$A$1:$A$9,EmployeeMaster!$D$1:$D$9,"not found",0),"not found")</f>
        <v>Sales Executive</v>
      </c>
      <c r="M55" t="str">
        <f>IFERROR(_xlfn.XLOOKUP(C55,EmployeeMaster!$A$1:$A$9,EmployeeMaster!$E$1:$E$9),"not found")</f>
        <v>North</v>
      </c>
      <c r="N55" s="30">
        <f t="shared" si="0"/>
        <v>91.012709950751628</v>
      </c>
      <c r="O55">
        <f>_xlfn.XLOOKUP(M55,RegionBenchmarks!$A$1:$A$6,RegionBenchmarks!$B$1:$B$6)</f>
        <v>68500</v>
      </c>
    </row>
    <row r="56" spans="1:15" ht="18" customHeight="1" x14ac:dyDescent="0.35">
      <c r="A56" s="9">
        <v>443925</v>
      </c>
      <c r="B56" s="10">
        <v>45217</v>
      </c>
      <c r="C56" s="11" t="s">
        <v>20</v>
      </c>
      <c r="D56" s="12" t="s">
        <v>64</v>
      </c>
      <c r="E56" s="11" t="s">
        <v>56</v>
      </c>
      <c r="F56" s="11">
        <v>23</v>
      </c>
      <c r="G56" s="11">
        <v>45609</v>
      </c>
      <c r="H56" s="11">
        <v>42289</v>
      </c>
      <c r="I56" s="13" t="s">
        <v>23</v>
      </c>
      <c r="J56" s="26" t="str">
        <f>_xlfn.XLOOKUP(C56,EmployeeMaster!$A$1:$A$9,EmployeeMaster!$C$1:$C$9)</f>
        <v>Sales</v>
      </c>
      <c r="K56" t="str">
        <f>IFERROR(_xlfn.XLOOKUP(C56,EmployeeMaster!$A$1:$A$9,EmployeeMaster!$B$1:$B$9),"not found")</f>
        <v>Ronn Robinson</v>
      </c>
      <c r="L56" t="str">
        <f>IFERROR(_xlfn.XLOOKUP(C56,EmployeeMaster!$A$1:$A$9,EmployeeMaster!$D$1:$D$9,"not found",0),"not found")</f>
        <v>Sr. Sales Exec.</v>
      </c>
      <c r="M56" t="str">
        <f>IFERROR(_xlfn.XLOOKUP(C56,EmployeeMaster!$A$1:$A$9,EmployeeMaster!$E$1:$E$9),"not found")</f>
        <v>East</v>
      </c>
      <c r="N56" s="30">
        <f t="shared" si="0"/>
        <v>107.85074132753198</v>
      </c>
      <c r="O56">
        <f>_xlfn.XLOOKUP(M56,RegionBenchmarks!$A$1:$A$6,RegionBenchmarks!$B$1:$B$6)</f>
        <v>50000</v>
      </c>
    </row>
    <row r="57" spans="1:15" ht="18" customHeight="1" x14ac:dyDescent="0.35">
      <c r="A57" s="9">
        <v>122220</v>
      </c>
      <c r="B57" s="10">
        <v>44933</v>
      </c>
      <c r="C57" s="11" t="s">
        <v>14</v>
      </c>
      <c r="D57" s="12" t="s">
        <v>64</v>
      </c>
      <c r="E57" s="11" t="s">
        <v>58</v>
      </c>
      <c r="F57" s="11">
        <v>58</v>
      </c>
      <c r="G57" s="11">
        <v>62002</v>
      </c>
      <c r="H57" s="11">
        <v>55940</v>
      </c>
      <c r="I57" s="13" t="s">
        <v>18</v>
      </c>
      <c r="J57" s="26" t="str">
        <f>_xlfn.XLOOKUP(C57,EmployeeMaster!$A$1:$A$9,EmployeeMaster!$C$1:$C$9)</f>
        <v>Marketing</v>
      </c>
      <c r="K57" t="str">
        <f>IFERROR(_xlfn.XLOOKUP(C57,EmployeeMaster!$A$1:$A$9,EmployeeMaster!$B$1:$B$9),"not found")</f>
        <v>Raj Mehta</v>
      </c>
      <c r="L57" t="str">
        <f>IFERROR(_xlfn.XLOOKUP(C57,EmployeeMaster!$A$1:$A$9,EmployeeMaster!$D$1:$D$9,"not found",0),"not found")</f>
        <v>Marketing Lead</v>
      </c>
      <c r="M57" t="str">
        <f>IFERROR(_xlfn.XLOOKUP(C57,EmployeeMaster!$A$1:$A$9,EmployeeMaster!$E$1:$E$9),"not found")</f>
        <v>South</v>
      </c>
      <c r="N57" s="30">
        <f t="shared" si="0"/>
        <v>110.83661065427243</v>
      </c>
      <c r="O57">
        <f>_xlfn.XLOOKUP(M57,RegionBenchmarks!$A$1:$A$6,RegionBenchmarks!$B$1:$B$6)</f>
        <v>60000</v>
      </c>
    </row>
    <row r="58" spans="1:15" ht="18" customHeight="1" x14ac:dyDescent="0.35">
      <c r="A58" s="9">
        <v>701178</v>
      </c>
      <c r="B58" s="10">
        <v>45054</v>
      </c>
      <c r="C58" s="11" t="s">
        <v>14</v>
      </c>
      <c r="D58" s="12" t="s">
        <v>64</v>
      </c>
      <c r="E58" s="11" t="s">
        <v>56</v>
      </c>
      <c r="F58" s="11">
        <v>56</v>
      </c>
      <c r="G58" s="11">
        <v>70112</v>
      </c>
      <c r="H58" s="11">
        <v>65627</v>
      </c>
      <c r="I58" s="13" t="s">
        <v>18</v>
      </c>
      <c r="J58" s="26" t="str">
        <f>_xlfn.XLOOKUP(C58,EmployeeMaster!$A$1:$A$9,EmployeeMaster!$C$1:$C$9)</f>
        <v>Marketing</v>
      </c>
      <c r="K58" t="str">
        <f>IFERROR(_xlfn.XLOOKUP(C58,EmployeeMaster!$A$1:$A$9,EmployeeMaster!$B$1:$B$9),"not found")</f>
        <v>Raj Mehta</v>
      </c>
      <c r="L58" t="str">
        <f>IFERROR(_xlfn.XLOOKUP(C58,EmployeeMaster!$A$1:$A$9,EmployeeMaster!$D$1:$D$9,"not found",0),"not found")</f>
        <v>Marketing Lead</v>
      </c>
      <c r="M58" t="str">
        <f>IFERROR(_xlfn.XLOOKUP(C58,EmployeeMaster!$A$1:$A$9,EmployeeMaster!$E$1:$E$9),"not found")</f>
        <v>South</v>
      </c>
      <c r="N58" s="30">
        <f t="shared" si="0"/>
        <v>106.83407743763999</v>
      </c>
      <c r="O58">
        <f>_xlfn.XLOOKUP(M58,RegionBenchmarks!$A$1:$A$6,RegionBenchmarks!$B$1:$B$6)</f>
        <v>60000</v>
      </c>
    </row>
    <row r="59" spans="1:15" ht="18" customHeight="1" x14ac:dyDescent="0.35">
      <c r="A59" s="9">
        <v>626979</v>
      </c>
      <c r="B59" s="10">
        <v>45018</v>
      </c>
      <c r="C59" s="11" t="s">
        <v>14</v>
      </c>
      <c r="D59" s="12" t="s">
        <v>64</v>
      </c>
      <c r="E59" s="11" t="s">
        <v>57</v>
      </c>
      <c r="F59" s="11">
        <v>46</v>
      </c>
      <c r="G59" s="11">
        <v>76958</v>
      </c>
      <c r="H59" s="11">
        <v>72396</v>
      </c>
      <c r="I59" s="13" t="s">
        <v>18</v>
      </c>
      <c r="J59" s="26" t="str">
        <f>_xlfn.XLOOKUP(C59,EmployeeMaster!$A$1:$A$9,EmployeeMaster!$C$1:$C$9)</f>
        <v>Marketing</v>
      </c>
      <c r="K59" t="str">
        <f>IFERROR(_xlfn.XLOOKUP(C59,EmployeeMaster!$A$1:$A$9,EmployeeMaster!$B$1:$B$9),"not found")</f>
        <v>Raj Mehta</v>
      </c>
      <c r="L59" t="str">
        <f>IFERROR(_xlfn.XLOOKUP(C59,EmployeeMaster!$A$1:$A$9,EmployeeMaster!$D$1:$D$9,"not found",0),"not found")</f>
        <v>Marketing Lead</v>
      </c>
      <c r="M59" t="str">
        <f>IFERROR(_xlfn.XLOOKUP(C59,EmployeeMaster!$A$1:$A$9,EmployeeMaster!$E$1:$E$9),"not found")</f>
        <v>South</v>
      </c>
      <c r="N59" s="30">
        <f t="shared" si="0"/>
        <v>106.30145311895684</v>
      </c>
      <c r="O59">
        <f>_xlfn.XLOOKUP(M59,RegionBenchmarks!$A$1:$A$6,RegionBenchmarks!$B$1:$B$6)</f>
        <v>60000</v>
      </c>
    </row>
    <row r="60" spans="1:15" ht="18" customHeight="1" x14ac:dyDescent="0.35">
      <c r="A60" s="9">
        <v>879135</v>
      </c>
      <c r="B60" s="10">
        <v>45210</v>
      </c>
      <c r="C60" s="11" t="s">
        <v>37</v>
      </c>
      <c r="D60" s="12" t="s">
        <v>64</v>
      </c>
      <c r="E60" s="11" t="s">
        <v>58</v>
      </c>
      <c r="F60" s="11">
        <v>36</v>
      </c>
      <c r="G60" s="11">
        <v>43524</v>
      </c>
      <c r="H60" s="11">
        <v>37552</v>
      </c>
      <c r="I60" s="13" t="s">
        <v>18</v>
      </c>
      <c r="J60" s="26" t="str">
        <f>_xlfn.XLOOKUP(C60,EmployeeMaster!$A$1:$A$9,EmployeeMaster!$C$1:$C$9)</f>
        <v>Sales</v>
      </c>
      <c r="K60" t="str">
        <f>IFERROR(_xlfn.XLOOKUP(C60,EmployeeMaster!$A$1:$A$9,EmployeeMaster!$B$1:$B$9),"not found")</f>
        <v>Fatima Zhang</v>
      </c>
      <c r="L60" t="str">
        <f>IFERROR(_xlfn.XLOOKUP(C60,EmployeeMaster!$A$1:$A$9,EmployeeMaster!$D$1:$D$9,"not found",0),"not found")</f>
        <v>Sales Executive</v>
      </c>
      <c r="M60" t="str">
        <f>IFERROR(_xlfn.XLOOKUP(C60,EmployeeMaster!$A$1:$A$9,EmployeeMaster!$E$1:$E$9),"not found")</f>
        <v>South</v>
      </c>
      <c r="N60" s="30">
        <f t="shared" si="0"/>
        <v>115.90328078397955</v>
      </c>
      <c r="O60">
        <f>_xlfn.XLOOKUP(M60,RegionBenchmarks!$A$1:$A$6,RegionBenchmarks!$B$1:$B$6)</f>
        <v>60000</v>
      </c>
    </row>
    <row r="61" spans="1:15" ht="18" customHeight="1" x14ac:dyDescent="0.35">
      <c r="A61" s="9">
        <v>853549</v>
      </c>
      <c r="B61" s="10">
        <v>45179</v>
      </c>
      <c r="C61" s="11" t="s">
        <v>26</v>
      </c>
      <c r="D61" s="12" t="s">
        <v>64</v>
      </c>
      <c r="E61" s="11" t="s">
        <v>57</v>
      </c>
      <c r="F61" s="11">
        <v>36</v>
      </c>
      <c r="G61" s="11">
        <v>50580</v>
      </c>
      <c r="H61" s="11">
        <v>53436</v>
      </c>
      <c r="I61" s="13" t="s">
        <v>30</v>
      </c>
      <c r="J61" s="26" t="str">
        <f>_xlfn.XLOOKUP(C61,EmployeeMaster!$A$1:$A$9,EmployeeMaster!$C$1:$C$9)</f>
        <v>Operations</v>
      </c>
      <c r="K61" t="str">
        <f>IFERROR(_xlfn.XLOOKUP(C61,EmployeeMaster!$A$1:$A$9,EmployeeMaster!$B$1:$B$9),"not found")</f>
        <v>Christi Davis</v>
      </c>
      <c r="L61" t="str">
        <f>IFERROR(_xlfn.XLOOKUP(C61,EmployeeMaster!$A$1:$A$9,EmployeeMaster!$D$1:$D$9,"not found",0),"not found")</f>
        <v>Ops Manager</v>
      </c>
      <c r="M61" t="str">
        <f>IFERROR(_xlfn.XLOOKUP(C61,EmployeeMaster!$A$1:$A$9,EmployeeMaster!$E$1:$E$9),"not found")</f>
        <v>West</v>
      </c>
      <c r="N61" s="30">
        <f t="shared" si="0"/>
        <v>94.655288569503711</v>
      </c>
      <c r="O61">
        <f>_xlfn.XLOOKUP(M61,RegionBenchmarks!$A$1:$A$6,RegionBenchmarks!$B$1:$B$6)</f>
        <v>55000</v>
      </c>
    </row>
    <row r="62" spans="1:15" ht="18" customHeight="1" x14ac:dyDescent="0.35">
      <c r="A62" s="9">
        <v>622476</v>
      </c>
      <c r="B62" s="10">
        <v>45252</v>
      </c>
      <c r="C62" s="11" t="s">
        <v>32</v>
      </c>
      <c r="D62" s="12" t="s">
        <v>64</v>
      </c>
      <c r="E62" s="11" t="s">
        <v>56</v>
      </c>
      <c r="F62" s="11">
        <v>49</v>
      </c>
      <c r="G62" s="11">
        <v>64827</v>
      </c>
      <c r="H62" s="11">
        <v>57509</v>
      </c>
      <c r="I62" s="13" t="s">
        <v>35</v>
      </c>
      <c r="J62" s="26" t="str">
        <f>_xlfn.XLOOKUP(C62,EmployeeMaster!$A$1:$A$9,EmployeeMaster!$C$1:$C$9)</f>
        <v>Sales</v>
      </c>
      <c r="K62" t="str">
        <f>IFERROR(_xlfn.XLOOKUP(C62,EmployeeMaster!$A$1:$A$9,EmployeeMaster!$B$1:$B$9),"not found")</f>
        <v>Joe Lyn</v>
      </c>
      <c r="L62" t="str">
        <f>IFERROR(_xlfn.XLOOKUP(C62,EmployeeMaster!$A$1:$A$9,EmployeeMaster!$D$1:$D$9,"not found",0),"not found")</f>
        <v>Sales Associate</v>
      </c>
      <c r="M62" t="str">
        <f>IFERROR(_xlfn.XLOOKUP(C62,EmployeeMaster!$A$1:$A$9,EmployeeMaster!$E$1:$E$9),"not found")</f>
        <v>Central</v>
      </c>
      <c r="N62" s="30">
        <f t="shared" si="0"/>
        <v>112.72496478812013</v>
      </c>
      <c r="O62">
        <f>_xlfn.XLOOKUP(M62,RegionBenchmarks!$A$1:$A$6,RegionBenchmarks!$B$1:$B$6)</f>
        <v>45000</v>
      </c>
    </row>
    <row r="63" spans="1:15" ht="18" customHeight="1" x14ac:dyDescent="0.35">
      <c r="A63" s="9">
        <v>558080</v>
      </c>
      <c r="B63" s="10">
        <v>45048</v>
      </c>
      <c r="C63" s="11" t="s">
        <v>44</v>
      </c>
      <c r="D63" s="12" t="s">
        <v>64</v>
      </c>
      <c r="E63" s="11" t="s">
        <v>57</v>
      </c>
      <c r="F63" s="11">
        <v>59</v>
      </c>
      <c r="G63" s="11">
        <v>92984</v>
      </c>
      <c r="H63" s="11">
        <v>96346</v>
      </c>
      <c r="I63" s="13" t="s">
        <v>23</v>
      </c>
      <c r="J63" s="26" t="str">
        <f>_xlfn.XLOOKUP(C63,EmployeeMaster!$A$1:$A$9,EmployeeMaster!$C$1:$C$9)</f>
        <v>Sales</v>
      </c>
      <c r="K63" t="str">
        <f>IFERROR(_xlfn.XLOOKUP(C63,EmployeeMaster!$A$1:$A$9,EmployeeMaster!$B$1:$B$9),"not found")</f>
        <v>John Taylor</v>
      </c>
      <c r="L63" t="str">
        <f>IFERROR(_xlfn.XLOOKUP(C63,EmployeeMaster!$A$1:$A$9,EmployeeMaster!$D$1:$D$9,"not found",0),"not found")</f>
        <v>Sales Manager</v>
      </c>
      <c r="M63" t="str">
        <f>IFERROR(_xlfn.XLOOKUP(C63,EmployeeMaster!$A$1:$A$9,EmployeeMaster!$E$1:$E$9),"not found")</f>
        <v>East</v>
      </c>
      <c r="N63" s="30">
        <f t="shared" si="0"/>
        <v>96.510493429929639</v>
      </c>
      <c r="O63">
        <f>_xlfn.XLOOKUP(M63,RegionBenchmarks!$A$1:$A$6,RegionBenchmarks!$B$1:$B$6)</f>
        <v>50000</v>
      </c>
    </row>
    <row r="64" spans="1:15" ht="18" customHeight="1" x14ac:dyDescent="0.35">
      <c r="A64" s="9">
        <v>705811</v>
      </c>
      <c r="B64" s="10">
        <v>45285</v>
      </c>
      <c r="C64" s="11" t="s">
        <v>26</v>
      </c>
      <c r="D64" s="12" t="s">
        <v>64</v>
      </c>
      <c r="E64" s="11" t="s">
        <v>56</v>
      </c>
      <c r="F64" s="11">
        <v>52</v>
      </c>
      <c r="G64" s="11">
        <v>66092</v>
      </c>
      <c r="H64" s="11">
        <v>68922</v>
      </c>
      <c r="I64" s="13" t="s">
        <v>30</v>
      </c>
      <c r="J64" s="26" t="str">
        <f>_xlfn.XLOOKUP(C64,EmployeeMaster!$A$1:$A$9,EmployeeMaster!$C$1:$C$9)</f>
        <v>Operations</v>
      </c>
      <c r="K64" t="str">
        <f>IFERROR(_xlfn.XLOOKUP(C64,EmployeeMaster!$A$1:$A$9,EmployeeMaster!$B$1:$B$9),"not found")</f>
        <v>Christi Davis</v>
      </c>
      <c r="L64" t="str">
        <f>IFERROR(_xlfn.XLOOKUP(C64,EmployeeMaster!$A$1:$A$9,EmployeeMaster!$D$1:$D$9,"not found",0),"not found")</f>
        <v>Ops Manager</v>
      </c>
      <c r="M64" t="str">
        <f>IFERROR(_xlfn.XLOOKUP(C64,EmployeeMaster!$A$1:$A$9,EmployeeMaster!$E$1:$E$9),"not found")</f>
        <v>West</v>
      </c>
      <c r="N64" s="30">
        <f t="shared" si="0"/>
        <v>95.893909056614717</v>
      </c>
      <c r="O64">
        <f>_xlfn.XLOOKUP(M64,RegionBenchmarks!$A$1:$A$6,RegionBenchmarks!$B$1:$B$6)</f>
        <v>55000</v>
      </c>
    </row>
    <row r="65" spans="1:15" ht="18" customHeight="1" x14ac:dyDescent="0.35">
      <c r="A65" s="9">
        <v>614942</v>
      </c>
      <c r="B65" s="10">
        <v>45217</v>
      </c>
      <c r="C65" s="11" t="s">
        <v>26</v>
      </c>
      <c r="D65" s="12" t="s">
        <v>65</v>
      </c>
      <c r="E65" s="11" t="s">
        <v>57</v>
      </c>
      <c r="F65" s="11">
        <v>43</v>
      </c>
      <c r="G65" s="11">
        <v>55513</v>
      </c>
      <c r="H65" s="11">
        <v>57929</v>
      </c>
      <c r="I65" s="13" t="s">
        <v>30</v>
      </c>
      <c r="J65" s="26" t="str">
        <f>_xlfn.XLOOKUP(C65,EmployeeMaster!$A$1:$A$9,EmployeeMaster!$C$1:$C$9)</f>
        <v>Operations</v>
      </c>
      <c r="K65" t="str">
        <f>IFERROR(_xlfn.XLOOKUP(C65,EmployeeMaster!$A$1:$A$9,EmployeeMaster!$B$1:$B$9),"not found")</f>
        <v>Christi Davis</v>
      </c>
      <c r="L65" t="str">
        <f>IFERROR(_xlfn.XLOOKUP(C65,EmployeeMaster!$A$1:$A$9,EmployeeMaster!$D$1:$D$9,"not found",0),"not found")</f>
        <v>Ops Manager</v>
      </c>
      <c r="M65" t="str">
        <f>IFERROR(_xlfn.XLOOKUP(C65,EmployeeMaster!$A$1:$A$9,EmployeeMaster!$E$1:$E$9),"not found")</f>
        <v>West</v>
      </c>
      <c r="N65" s="30">
        <f t="shared" si="0"/>
        <v>95.829377341228053</v>
      </c>
      <c r="O65">
        <f>_xlfn.XLOOKUP(M65,RegionBenchmarks!$A$1:$A$6,RegionBenchmarks!$B$1:$B$6)</f>
        <v>55000</v>
      </c>
    </row>
    <row r="66" spans="1:15" ht="18" customHeight="1" x14ac:dyDescent="0.35">
      <c r="A66" s="9">
        <v>411338</v>
      </c>
      <c r="B66" s="10">
        <v>45066</v>
      </c>
      <c r="C66" s="11" t="s">
        <v>32</v>
      </c>
      <c r="D66" s="12" t="s">
        <v>65</v>
      </c>
      <c r="E66" s="11" t="s">
        <v>56</v>
      </c>
      <c r="F66" s="11">
        <v>59</v>
      </c>
      <c r="G66" s="11">
        <v>107734</v>
      </c>
      <c r="H66" s="11">
        <v>102020</v>
      </c>
      <c r="I66" s="13" t="s">
        <v>35</v>
      </c>
      <c r="J66" s="26" t="str">
        <f>_xlfn.XLOOKUP(C66,EmployeeMaster!$A$1:$A$9,EmployeeMaster!$C$1:$C$9)</f>
        <v>Sales</v>
      </c>
      <c r="K66" t="str">
        <f>IFERROR(_xlfn.XLOOKUP(C66,EmployeeMaster!$A$1:$A$9,EmployeeMaster!$B$1:$B$9),"not found")</f>
        <v>Joe Lyn</v>
      </c>
      <c r="L66" t="str">
        <f>IFERROR(_xlfn.XLOOKUP(C66,EmployeeMaster!$A$1:$A$9,EmployeeMaster!$D$1:$D$9,"not found",0),"not found")</f>
        <v>Sales Associate</v>
      </c>
      <c r="M66" t="str">
        <f>IFERROR(_xlfn.XLOOKUP(C66,EmployeeMaster!$A$1:$A$9,EmployeeMaster!$E$1:$E$9),"not found")</f>
        <v>Central</v>
      </c>
      <c r="N66" s="30">
        <f t="shared" si="0"/>
        <v>105.60086257596551</v>
      </c>
      <c r="O66">
        <f>_xlfn.XLOOKUP(M66,RegionBenchmarks!$A$1:$A$6,RegionBenchmarks!$B$1:$B$6)</f>
        <v>45000</v>
      </c>
    </row>
    <row r="67" spans="1:15" ht="18" customHeight="1" x14ac:dyDescent="0.35">
      <c r="A67" s="9">
        <v>773919</v>
      </c>
      <c r="B67" s="10">
        <v>45135</v>
      </c>
      <c r="C67" s="11" t="s">
        <v>32</v>
      </c>
      <c r="D67" s="12" t="s">
        <v>65</v>
      </c>
      <c r="E67" s="11" t="s">
        <v>58</v>
      </c>
      <c r="F67" s="11">
        <v>26</v>
      </c>
      <c r="G67" s="11">
        <v>50986</v>
      </c>
      <c r="H67" s="11">
        <v>41599</v>
      </c>
      <c r="I67" s="13" t="s">
        <v>35</v>
      </c>
      <c r="J67" s="26" t="str">
        <f>_xlfn.XLOOKUP(C67,EmployeeMaster!$A$1:$A$9,EmployeeMaster!$C$1:$C$9)</f>
        <v>Sales</v>
      </c>
      <c r="K67" t="str">
        <f>IFERROR(_xlfn.XLOOKUP(C67,EmployeeMaster!$A$1:$A$9,EmployeeMaster!$B$1:$B$9),"not found")</f>
        <v>Joe Lyn</v>
      </c>
      <c r="L67" t="str">
        <f>IFERROR(_xlfn.XLOOKUP(C67,EmployeeMaster!$A$1:$A$9,EmployeeMaster!$D$1:$D$9,"not found",0),"not found")</f>
        <v>Sales Associate</v>
      </c>
      <c r="M67" t="str">
        <f>IFERROR(_xlfn.XLOOKUP(C67,EmployeeMaster!$A$1:$A$9,EmployeeMaster!$E$1:$E$9),"not found")</f>
        <v>Central</v>
      </c>
      <c r="N67" s="30">
        <f t="shared" ref="N67:N101" si="1">(G67/H67)*100</f>
        <v>122.56544628476647</v>
      </c>
      <c r="O67">
        <f>_xlfn.XLOOKUP(M67,RegionBenchmarks!$A$1:$A$6,RegionBenchmarks!$B$1:$B$6)</f>
        <v>45000</v>
      </c>
    </row>
    <row r="68" spans="1:15" ht="18" customHeight="1" x14ac:dyDescent="0.35">
      <c r="A68" s="9">
        <v>972584</v>
      </c>
      <c r="B68" s="10">
        <v>45278</v>
      </c>
      <c r="C68" s="11" t="s">
        <v>14</v>
      </c>
      <c r="D68" s="12" t="s">
        <v>65</v>
      </c>
      <c r="E68" s="11" t="s">
        <v>58</v>
      </c>
      <c r="F68" s="11">
        <v>26</v>
      </c>
      <c r="G68" s="11">
        <v>45760</v>
      </c>
      <c r="H68" s="11">
        <v>41696</v>
      </c>
      <c r="I68" s="13" t="s">
        <v>18</v>
      </c>
      <c r="J68" s="26" t="str">
        <f>_xlfn.XLOOKUP(C68,EmployeeMaster!$A$1:$A$9,EmployeeMaster!$C$1:$C$9)</f>
        <v>Marketing</v>
      </c>
      <c r="K68" t="str">
        <f>IFERROR(_xlfn.XLOOKUP(C68,EmployeeMaster!$A$1:$A$9,EmployeeMaster!$B$1:$B$9),"not found")</f>
        <v>Raj Mehta</v>
      </c>
      <c r="L68" t="str">
        <f>IFERROR(_xlfn.XLOOKUP(C68,EmployeeMaster!$A$1:$A$9,EmployeeMaster!$D$1:$D$9,"not found",0),"not found")</f>
        <v>Marketing Lead</v>
      </c>
      <c r="M68" t="str">
        <f>IFERROR(_xlfn.XLOOKUP(C68,EmployeeMaster!$A$1:$A$9,EmployeeMaster!$E$1:$E$9),"not found")</f>
        <v>South</v>
      </c>
      <c r="N68" s="30">
        <f t="shared" si="1"/>
        <v>109.74673829623944</v>
      </c>
      <c r="O68">
        <f>_xlfn.XLOOKUP(M68,RegionBenchmarks!$A$1:$A$6,RegionBenchmarks!$B$1:$B$6)</f>
        <v>60000</v>
      </c>
    </row>
    <row r="69" spans="1:15" ht="18" customHeight="1" x14ac:dyDescent="0.35">
      <c r="A69" s="9">
        <v>375513</v>
      </c>
      <c r="B69" s="10">
        <v>45109</v>
      </c>
      <c r="C69" s="11" t="s">
        <v>32</v>
      </c>
      <c r="D69" s="12" t="s">
        <v>65</v>
      </c>
      <c r="E69" s="11" t="s">
        <v>56</v>
      </c>
      <c r="F69" s="11">
        <v>58</v>
      </c>
      <c r="G69" s="11">
        <v>70470</v>
      </c>
      <c r="H69" s="11">
        <v>63713</v>
      </c>
      <c r="I69" s="13" t="s">
        <v>35</v>
      </c>
      <c r="J69" s="26" t="str">
        <f>_xlfn.XLOOKUP(C69,EmployeeMaster!$A$1:$A$9,EmployeeMaster!$C$1:$C$9)</f>
        <v>Sales</v>
      </c>
      <c r="K69" t="str">
        <f>IFERROR(_xlfn.XLOOKUP(C69,EmployeeMaster!$A$1:$A$9,EmployeeMaster!$B$1:$B$9),"not found")</f>
        <v>Joe Lyn</v>
      </c>
      <c r="L69" t="str">
        <f>IFERROR(_xlfn.XLOOKUP(C69,EmployeeMaster!$A$1:$A$9,EmployeeMaster!$D$1:$D$9,"not found",0),"not found")</f>
        <v>Sales Associate</v>
      </c>
      <c r="M69" t="str">
        <f>IFERROR(_xlfn.XLOOKUP(C69,EmployeeMaster!$A$1:$A$9,EmployeeMaster!$E$1:$E$9),"not found")</f>
        <v>Central</v>
      </c>
      <c r="N69" s="30">
        <f t="shared" si="1"/>
        <v>110.60537096040055</v>
      </c>
      <c r="O69">
        <f>_xlfn.XLOOKUP(M69,RegionBenchmarks!$A$1:$A$6,RegionBenchmarks!$B$1:$B$6)</f>
        <v>45000</v>
      </c>
    </row>
    <row r="70" spans="1:15" ht="18" customHeight="1" x14ac:dyDescent="0.35">
      <c r="A70" s="9">
        <v>171074</v>
      </c>
      <c r="B70" s="10">
        <v>45208</v>
      </c>
      <c r="C70" s="11" t="s">
        <v>32</v>
      </c>
      <c r="D70" s="12" t="s">
        <v>65</v>
      </c>
      <c r="E70" s="11" t="s">
        <v>56</v>
      </c>
      <c r="F70" s="11">
        <v>52</v>
      </c>
      <c r="G70" s="11">
        <v>78000</v>
      </c>
      <c r="H70" s="11">
        <v>78886</v>
      </c>
      <c r="I70" s="13" t="s">
        <v>35</v>
      </c>
      <c r="J70" s="26" t="str">
        <f>_xlfn.XLOOKUP(C70,EmployeeMaster!$A$1:$A$9,EmployeeMaster!$C$1:$C$9)</f>
        <v>Sales</v>
      </c>
      <c r="K70" t="str">
        <f>IFERROR(_xlfn.XLOOKUP(C70,EmployeeMaster!$A$1:$A$9,EmployeeMaster!$B$1:$B$9),"not found")</f>
        <v>Joe Lyn</v>
      </c>
      <c r="L70" t="str">
        <f>IFERROR(_xlfn.XLOOKUP(C70,EmployeeMaster!$A$1:$A$9,EmployeeMaster!$D$1:$D$9,"not found",0),"not found")</f>
        <v>Sales Associate</v>
      </c>
      <c r="M70" t="str">
        <f>IFERROR(_xlfn.XLOOKUP(C70,EmployeeMaster!$A$1:$A$9,EmployeeMaster!$E$1:$E$9),"not found")</f>
        <v>Central</v>
      </c>
      <c r="N70" s="30">
        <f t="shared" si="1"/>
        <v>98.876860279390513</v>
      </c>
      <c r="O70">
        <f>_xlfn.XLOOKUP(M70,RegionBenchmarks!$A$1:$A$6,RegionBenchmarks!$B$1:$B$6)</f>
        <v>45000</v>
      </c>
    </row>
    <row r="71" spans="1:15" ht="18" customHeight="1" x14ac:dyDescent="0.35">
      <c r="A71" s="9">
        <v>658474</v>
      </c>
      <c r="B71" s="10">
        <v>45278</v>
      </c>
      <c r="C71" s="11" t="s">
        <v>40</v>
      </c>
      <c r="D71" s="12" t="s">
        <v>65</v>
      </c>
      <c r="E71" s="11" t="s">
        <v>56</v>
      </c>
      <c r="F71" s="11">
        <v>37</v>
      </c>
      <c r="G71" s="11">
        <v>38665</v>
      </c>
      <c r="H71" s="11">
        <v>43607</v>
      </c>
      <c r="I71" s="13" t="s">
        <v>11</v>
      </c>
      <c r="J71" s="26" t="str">
        <f>_xlfn.XLOOKUP(C71,EmployeeMaster!$A$1:$A$9,EmployeeMaster!$C$1:$C$9)</f>
        <v>Marketing</v>
      </c>
      <c r="K71" t="str">
        <f>IFERROR(_xlfn.XLOOKUP(C71,EmployeeMaster!$A$1:$A$9,EmployeeMaster!$B$1:$B$9),"not found")</f>
        <v>Martina Brands</v>
      </c>
      <c r="L71" t="str">
        <f>IFERROR(_xlfn.XLOOKUP(C71,EmployeeMaster!$A$1:$A$9,EmployeeMaster!$D$1:$D$9,"not found",0),"not found")</f>
        <v>Brand Manager</v>
      </c>
      <c r="M71" t="str">
        <f>IFERROR(_xlfn.XLOOKUP(C71,EmployeeMaster!$A$1:$A$9,EmployeeMaster!$E$1:$E$9),"not found")</f>
        <v>North</v>
      </c>
      <c r="N71" s="30">
        <f t="shared" si="1"/>
        <v>88.666957139908732</v>
      </c>
      <c r="O71">
        <f>_xlfn.XLOOKUP(M71,RegionBenchmarks!$A$1:$A$6,RegionBenchmarks!$B$1:$B$6)</f>
        <v>68500</v>
      </c>
    </row>
    <row r="72" spans="1:15" ht="18" customHeight="1" x14ac:dyDescent="0.35">
      <c r="A72" s="9">
        <v>136884</v>
      </c>
      <c r="B72" s="10">
        <v>44992</v>
      </c>
      <c r="C72" s="11" t="s">
        <v>32</v>
      </c>
      <c r="D72" s="12" t="s">
        <v>65</v>
      </c>
      <c r="E72" s="11" t="s">
        <v>57</v>
      </c>
      <c r="F72" s="11">
        <v>30</v>
      </c>
      <c r="G72" s="11">
        <v>52770</v>
      </c>
      <c r="H72" s="11">
        <v>50531</v>
      </c>
      <c r="I72" s="13" t="s">
        <v>35</v>
      </c>
      <c r="J72" s="26" t="str">
        <f>_xlfn.XLOOKUP(C72,EmployeeMaster!$A$1:$A$9,EmployeeMaster!$C$1:$C$9)</f>
        <v>Sales</v>
      </c>
      <c r="K72" t="str">
        <f>IFERROR(_xlfn.XLOOKUP(C72,EmployeeMaster!$A$1:$A$9,EmployeeMaster!$B$1:$B$9),"not found")</f>
        <v>Joe Lyn</v>
      </c>
      <c r="L72" t="str">
        <f>IFERROR(_xlfn.XLOOKUP(C72,EmployeeMaster!$A$1:$A$9,EmployeeMaster!$D$1:$D$9,"not found",0),"not found")</f>
        <v>Sales Associate</v>
      </c>
      <c r="M72" t="str">
        <f>IFERROR(_xlfn.XLOOKUP(C72,EmployeeMaster!$A$1:$A$9,EmployeeMaster!$E$1:$E$9),"not found")</f>
        <v>Central</v>
      </c>
      <c r="N72" s="30">
        <f t="shared" si="1"/>
        <v>104.43094338129069</v>
      </c>
      <c r="O72">
        <f>_xlfn.XLOOKUP(M72,RegionBenchmarks!$A$1:$A$6,RegionBenchmarks!$B$1:$B$6)</f>
        <v>45000</v>
      </c>
    </row>
    <row r="73" spans="1:15" ht="18" customHeight="1" x14ac:dyDescent="0.35">
      <c r="A73" s="9">
        <v>347309</v>
      </c>
      <c r="B73" s="10">
        <v>45129</v>
      </c>
      <c r="C73" s="11" t="s">
        <v>40</v>
      </c>
      <c r="D73" s="12" t="s">
        <v>65</v>
      </c>
      <c r="E73" s="11" t="s">
        <v>57</v>
      </c>
      <c r="F73" s="11">
        <v>55</v>
      </c>
      <c r="G73" s="11">
        <v>55495</v>
      </c>
      <c r="H73" s="11">
        <v>58663</v>
      </c>
      <c r="I73" s="13" t="s">
        <v>11</v>
      </c>
      <c r="J73" s="26" t="str">
        <f>_xlfn.XLOOKUP(C73,EmployeeMaster!$A$1:$A$9,EmployeeMaster!$C$1:$C$9)</f>
        <v>Marketing</v>
      </c>
      <c r="K73" t="str">
        <f>IFERROR(_xlfn.XLOOKUP(C73,EmployeeMaster!$A$1:$A$9,EmployeeMaster!$B$1:$B$9),"not found")</f>
        <v>Martina Brands</v>
      </c>
      <c r="L73" t="str">
        <f>IFERROR(_xlfn.XLOOKUP(C73,EmployeeMaster!$A$1:$A$9,EmployeeMaster!$D$1:$D$9,"not found",0),"not found")</f>
        <v>Brand Manager</v>
      </c>
      <c r="M73" t="str">
        <f>IFERROR(_xlfn.XLOOKUP(C73,EmployeeMaster!$A$1:$A$9,EmployeeMaster!$E$1:$E$9),"not found")</f>
        <v>North</v>
      </c>
      <c r="N73" s="30">
        <f t="shared" si="1"/>
        <v>94.599662478904932</v>
      </c>
      <c r="O73">
        <f>_xlfn.XLOOKUP(M73,RegionBenchmarks!$A$1:$A$6,RegionBenchmarks!$B$1:$B$6)</f>
        <v>68500</v>
      </c>
    </row>
    <row r="74" spans="1:15" ht="18" customHeight="1" x14ac:dyDescent="0.35">
      <c r="A74" s="9">
        <v>861040</v>
      </c>
      <c r="B74" s="10">
        <v>44944</v>
      </c>
      <c r="C74" s="11" t="s">
        <v>20</v>
      </c>
      <c r="D74" s="12" t="s">
        <v>65</v>
      </c>
      <c r="E74" s="11" t="s">
        <v>57</v>
      </c>
      <c r="F74" s="11">
        <v>54</v>
      </c>
      <c r="G74" s="11">
        <v>55944</v>
      </c>
      <c r="H74" s="11">
        <v>47270</v>
      </c>
      <c r="I74" s="13" t="s">
        <v>23</v>
      </c>
      <c r="J74" s="26" t="str">
        <f>_xlfn.XLOOKUP(C74,EmployeeMaster!$A$1:$A$9,EmployeeMaster!$C$1:$C$9)</f>
        <v>Sales</v>
      </c>
      <c r="K74" t="str">
        <f>IFERROR(_xlfn.XLOOKUP(C74,EmployeeMaster!$A$1:$A$9,EmployeeMaster!$B$1:$B$9),"not found")</f>
        <v>Ronn Robinson</v>
      </c>
      <c r="L74" t="str">
        <f>IFERROR(_xlfn.XLOOKUP(C74,EmployeeMaster!$A$1:$A$9,EmployeeMaster!$D$1:$D$9,"not found",0),"not found")</f>
        <v>Sr. Sales Exec.</v>
      </c>
      <c r="M74" t="str">
        <f>IFERROR(_xlfn.XLOOKUP(C74,EmployeeMaster!$A$1:$A$9,EmployeeMaster!$E$1:$E$9),"not found")</f>
        <v>East</v>
      </c>
      <c r="N74" s="30">
        <f t="shared" si="1"/>
        <v>118.34990480220013</v>
      </c>
      <c r="O74">
        <f>_xlfn.XLOOKUP(M74,RegionBenchmarks!$A$1:$A$6,RegionBenchmarks!$B$1:$B$6)</f>
        <v>50000</v>
      </c>
    </row>
    <row r="75" spans="1:15" ht="18" customHeight="1" x14ac:dyDescent="0.35">
      <c r="A75" s="9">
        <v>757259</v>
      </c>
      <c r="B75" s="10">
        <v>45070</v>
      </c>
      <c r="C75" s="11" t="s">
        <v>20</v>
      </c>
      <c r="D75" s="12" t="s">
        <v>65</v>
      </c>
      <c r="E75" s="11" t="s">
        <v>58</v>
      </c>
      <c r="F75" s="11">
        <v>47</v>
      </c>
      <c r="G75" s="11">
        <v>53110</v>
      </c>
      <c r="H75" s="11">
        <v>57425</v>
      </c>
      <c r="I75" s="13" t="s">
        <v>23</v>
      </c>
      <c r="J75" s="26" t="str">
        <f>_xlfn.XLOOKUP(C75,EmployeeMaster!$A$1:$A$9,EmployeeMaster!$C$1:$C$9)</f>
        <v>Sales</v>
      </c>
      <c r="K75" t="str">
        <f>IFERROR(_xlfn.XLOOKUP(C75,EmployeeMaster!$A$1:$A$9,EmployeeMaster!$B$1:$B$9),"not found")</f>
        <v>Ronn Robinson</v>
      </c>
      <c r="L75" t="str">
        <f>IFERROR(_xlfn.XLOOKUP(C75,EmployeeMaster!$A$1:$A$9,EmployeeMaster!$D$1:$D$9,"not found",0),"not found")</f>
        <v>Sr. Sales Exec.</v>
      </c>
      <c r="M75" t="str">
        <f>IFERROR(_xlfn.XLOOKUP(C75,EmployeeMaster!$A$1:$A$9,EmployeeMaster!$E$1:$E$9),"not found")</f>
        <v>East</v>
      </c>
      <c r="N75" s="30">
        <f t="shared" si="1"/>
        <v>92.48585111014367</v>
      </c>
      <c r="O75">
        <f>_xlfn.XLOOKUP(M75,RegionBenchmarks!$A$1:$A$6,RegionBenchmarks!$B$1:$B$6)</f>
        <v>50000</v>
      </c>
    </row>
    <row r="76" spans="1:15" ht="18" customHeight="1" x14ac:dyDescent="0.35">
      <c r="A76" s="9">
        <v>616139</v>
      </c>
      <c r="B76" s="10">
        <v>45172</v>
      </c>
      <c r="C76" s="11" t="s">
        <v>7</v>
      </c>
      <c r="D76" s="12" t="s">
        <v>66</v>
      </c>
      <c r="E76" s="11" t="s">
        <v>57</v>
      </c>
      <c r="F76" s="11">
        <v>42</v>
      </c>
      <c r="G76" s="11">
        <v>51030</v>
      </c>
      <c r="H76" s="11">
        <v>44856</v>
      </c>
      <c r="I76" s="13" t="s">
        <v>11</v>
      </c>
      <c r="J76" s="26" t="str">
        <f>_xlfn.XLOOKUP(C76,EmployeeMaster!$A$1:$A$9,EmployeeMaster!$C$1:$C$9)</f>
        <v>Sales</v>
      </c>
      <c r="K76" t="str">
        <f>IFERROR(_xlfn.XLOOKUP(C76,EmployeeMaster!$A$1:$A$9,EmployeeMaster!$B$1:$B$9),"not found")</f>
        <v>Lynda Smith</v>
      </c>
      <c r="L76" t="str">
        <f>IFERROR(_xlfn.XLOOKUP(C76,EmployeeMaster!$A$1:$A$9,EmployeeMaster!$D$1:$D$9,"not found",0),"not found")</f>
        <v>Sales Executive</v>
      </c>
      <c r="M76" t="str">
        <f>IFERROR(_xlfn.XLOOKUP(C76,EmployeeMaster!$A$1:$A$9,EmployeeMaster!$E$1:$E$9),"not found")</f>
        <v>North</v>
      </c>
      <c r="N76" s="30">
        <f t="shared" si="1"/>
        <v>113.76404494382022</v>
      </c>
      <c r="O76">
        <f>_xlfn.XLOOKUP(M76,RegionBenchmarks!$A$1:$A$6,RegionBenchmarks!$B$1:$B$6)</f>
        <v>68500</v>
      </c>
    </row>
    <row r="77" spans="1:15" ht="18" customHeight="1" x14ac:dyDescent="0.35">
      <c r="A77" s="9">
        <v>310196</v>
      </c>
      <c r="B77" s="10">
        <v>45232</v>
      </c>
      <c r="C77" s="11" t="s">
        <v>14</v>
      </c>
      <c r="D77" s="12" t="s">
        <v>66</v>
      </c>
      <c r="E77" s="11" t="s">
        <v>57</v>
      </c>
      <c r="F77" s="11">
        <v>42</v>
      </c>
      <c r="G77" s="11">
        <v>75516</v>
      </c>
      <c r="H77" s="11">
        <v>71343</v>
      </c>
      <c r="I77" s="13" t="s">
        <v>18</v>
      </c>
      <c r="J77" s="26" t="str">
        <f>_xlfn.XLOOKUP(C77,EmployeeMaster!$A$1:$A$9,EmployeeMaster!$C$1:$C$9)</f>
        <v>Marketing</v>
      </c>
      <c r="K77" t="str">
        <f>IFERROR(_xlfn.XLOOKUP(C77,EmployeeMaster!$A$1:$A$9,EmployeeMaster!$B$1:$B$9),"not found")</f>
        <v>Raj Mehta</v>
      </c>
      <c r="L77" t="str">
        <f>IFERROR(_xlfn.XLOOKUP(C77,EmployeeMaster!$A$1:$A$9,EmployeeMaster!$D$1:$D$9,"not found",0),"not found")</f>
        <v>Marketing Lead</v>
      </c>
      <c r="M77" t="str">
        <f>IFERROR(_xlfn.XLOOKUP(C77,EmployeeMaster!$A$1:$A$9,EmployeeMaster!$E$1:$E$9),"not found")</f>
        <v>South</v>
      </c>
      <c r="N77" s="30">
        <f t="shared" si="1"/>
        <v>105.84920735040579</v>
      </c>
      <c r="O77">
        <f>_xlfn.XLOOKUP(M77,RegionBenchmarks!$A$1:$A$6,RegionBenchmarks!$B$1:$B$6)</f>
        <v>60000</v>
      </c>
    </row>
    <row r="78" spans="1:15" ht="18" customHeight="1" x14ac:dyDescent="0.35">
      <c r="A78" s="9">
        <v>855931</v>
      </c>
      <c r="B78" s="10">
        <v>45263</v>
      </c>
      <c r="C78" s="11" t="s">
        <v>20</v>
      </c>
      <c r="D78" s="12" t="s">
        <v>66</v>
      </c>
      <c r="E78" s="11" t="s">
        <v>58</v>
      </c>
      <c r="F78" s="11">
        <v>35</v>
      </c>
      <c r="G78" s="11">
        <v>65975</v>
      </c>
      <c r="H78" s="11">
        <v>68313</v>
      </c>
      <c r="I78" s="13" t="s">
        <v>23</v>
      </c>
      <c r="J78" s="26" t="str">
        <f>_xlfn.XLOOKUP(C78,EmployeeMaster!$A$1:$A$9,EmployeeMaster!$C$1:$C$9)</f>
        <v>Sales</v>
      </c>
      <c r="K78" t="str">
        <f>IFERROR(_xlfn.XLOOKUP(C78,EmployeeMaster!$A$1:$A$9,EmployeeMaster!$B$1:$B$9),"not found")</f>
        <v>Ronn Robinson</v>
      </c>
      <c r="L78" t="str">
        <f>IFERROR(_xlfn.XLOOKUP(C78,EmployeeMaster!$A$1:$A$9,EmployeeMaster!$D$1:$D$9,"not found",0),"not found")</f>
        <v>Sr. Sales Exec.</v>
      </c>
      <c r="M78" t="str">
        <f>IFERROR(_xlfn.XLOOKUP(C78,EmployeeMaster!$A$1:$A$9,EmployeeMaster!$E$1:$E$9),"not found")</f>
        <v>East</v>
      </c>
      <c r="N78" s="30">
        <f t="shared" si="1"/>
        <v>96.577518188338971</v>
      </c>
      <c r="O78">
        <f>_xlfn.XLOOKUP(M78,RegionBenchmarks!$A$1:$A$6,RegionBenchmarks!$B$1:$B$6)</f>
        <v>50000</v>
      </c>
    </row>
    <row r="79" spans="1:15" ht="18" customHeight="1" x14ac:dyDescent="0.35">
      <c r="A79" s="9">
        <v>659392</v>
      </c>
      <c r="B79" s="10">
        <v>45017</v>
      </c>
      <c r="C79" s="11" t="s">
        <v>7</v>
      </c>
      <c r="D79" s="12" t="s">
        <v>66</v>
      </c>
      <c r="E79" s="11" t="s">
        <v>57</v>
      </c>
      <c r="F79" s="11">
        <v>31</v>
      </c>
      <c r="G79" s="11">
        <v>54374</v>
      </c>
      <c r="H79" s="11">
        <v>53932</v>
      </c>
      <c r="I79" s="13" t="s">
        <v>11</v>
      </c>
      <c r="J79" s="26" t="str">
        <f>_xlfn.XLOOKUP(C79,EmployeeMaster!$A$1:$A$9,EmployeeMaster!$C$1:$C$9)</f>
        <v>Sales</v>
      </c>
      <c r="K79" t="str">
        <f>IFERROR(_xlfn.XLOOKUP(C79,EmployeeMaster!$A$1:$A$9,EmployeeMaster!$B$1:$B$9),"not found")</f>
        <v>Lynda Smith</v>
      </c>
      <c r="L79" t="str">
        <f>IFERROR(_xlfn.XLOOKUP(C79,EmployeeMaster!$A$1:$A$9,EmployeeMaster!$D$1:$D$9,"not found",0),"not found")</f>
        <v>Sales Executive</v>
      </c>
      <c r="M79" t="str">
        <f>IFERROR(_xlfn.XLOOKUP(C79,EmployeeMaster!$A$1:$A$9,EmployeeMaster!$E$1:$E$9),"not found")</f>
        <v>North</v>
      </c>
      <c r="N79" s="30">
        <f t="shared" si="1"/>
        <v>100.81955054513089</v>
      </c>
      <c r="O79">
        <f>_xlfn.XLOOKUP(M79,RegionBenchmarks!$A$1:$A$6,RegionBenchmarks!$B$1:$B$6)</f>
        <v>68500</v>
      </c>
    </row>
    <row r="80" spans="1:15" ht="18" customHeight="1" x14ac:dyDescent="0.35">
      <c r="A80" s="9">
        <v>509306</v>
      </c>
      <c r="B80" s="10">
        <v>45215</v>
      </c>
      <c r="C80" s="11" t="s">
        <v>26</v>
      </c>
      <c r="D80" s="12" t="s">
        <v>66</v>
      </c>
      <c r="E80" s="11" t="s">
        <v>56</v>
      </c>
      <c r="F80" s="11">
        <v>37</v>
      </c>
      <c r="G80" s="11">
        <v>43031</v>
      </c>
      <c r="H80" s="11">
        <v>35131</v>
      </c>
      <c r="I80" s="13" t="s">
        <v>30</v>
      </c>
      <c r="J80" s="26" t="str">
        <f>_xlfn.XLOOKUP(C80,EmployeeMaster!$A$1:$A$9,EmployeeMaster!$C$1:$C$9)</f>
        <v>Operations</v>
      </c>
      <c r="K80" t="str">
        <f>IFERROR(_xlfn.XLOOKUP(C80,EmployeeMaster!$A$1:$A$9,EmployeeMaster!$B$1:$B$9),"not found")</f>
        <v>Christi Davis</v>
      </c>
      <c r="L80" t="str">
        <f>IFERROR(_xlfn.XLOOKUP(C80,EmployeeMaster!$A$1:$A$9,EmployeeMaster!$D$1:$D$9,"not found",0),"not found")</f>
        <v>Ops Manager</v>
      </c>
      <c r="M80" t="str">
        <f>IFERROR(_xlfn.XLOOKUP(C80,EmployeeMaster!$A$1:$A$9,EmployeeMaster!$E$1:$E$9),"not found")</f>
        <v>West</v>
      </c>
      <c r="N80" s="30">
        <f t="shared" si="1"/>
        <v>122.48726196236942</v>
      </c>
      <c r="O80">
        <f>_xlfn.XLOOKUP(M80,RegionBenchmarks!$A$1:$A$6,RegionBenchmarks!$B$1:$B$6)</f>
        <v>55000</v>
      </c>
    </row>
    <row r="81" spans="1:15" ht="18" customHeight="1" x14ac:dyDescent="0.35">
      <c r="A81" s="9">
        <v>818214</v>
      </c>
      <c r="B81" s="10">
        <v>45235</v>
      </c>
      <c r="C81" s="11" t="s">
        <v>40</v>
      </c>
      <c r="D81" s="12" t="s">
        <v>67</v>
      </c>
      <c r="E81" s="11" t="s">
        <v>56</v>
      </c>
      <c r="F81" s="11">
        <v>22</v>
      </c>
      <c r="G81" s="11">
        <v>41338</v>
      </c>
      <c r="H81" s="11">
        <v>38627</v>
      </c>
      <c r="I81" s="13" t="s">
        <v>11</v>
      </c>
      <c r="J81" s="26" t="str">
        <f>_xlfn.XLOOKUP(C81,EmployeeMaster!$A$1:$A$9,EmployeeMaster!$C$1:$C$9)</f>
        <v>Marketing</v>
      </c>
      <c r="K81" t="str">
        <f>IFERROR(_xlfn.XLOOKUP(C81,EmployeeMaster!$A$1:$A$9,EmployeeMaster!$B$1:$B$9),"not found")</f>
        <v>Martina Brands</v>
      </c>
      <c r="L81" t="str">
        <f>IFERROR(_xlfn.XLOOKUP(C81,EmployeeMaster!$A$1:$A$9,EmployeeMaster!$D$1:$D$9,"not found",0),"not found")</f>
        <v>Brand Manager</v>
      </c>
      <c r="M81" t="str">
        <f>IFERROR(_xlfn.XLOOKUP(C81,EmployeeMaster!$A$1:$A$9,EmployeeMaster!$E$1:$E$9),"not found")</f>
        <v>North</v>
      </c>
      <c r="N81" s="30">
        <f t="shared" si="1"/>
        <v>107.01840681388666</v>
      </c>
      <c r="O81">
        <f>_xlfn.XLOOKUP(M81,RegionBenchmarks!$A$1:$A$6,RegionBenchmarks!$B$1:$B$6)</f>
        <v>68500</v>
      </c>
    </row>
    <row r="82" spans="1:15" ht="18" customHeight="1" x14ac:dyDescent="0.35">
      <c r="A82" s="9">
        <v>667432</v>
      </c>
      <c r="B82" s="10">
        <v>45092</v>
      </c>
      <c r="C82" s="11" t="s">
        <v>44</v>
      </c>
      <c r="D82" s="12" t="s">
        <v>67</v>
      </c>
      <c r="E82" s="11" t="s">
        <v>56</v>
      </c>
      <c r="F82" s="11">
        <v>42</v>
      </c>
      <c r="G82" s="11">
        <v>55104</v>
      </c>
      <c r="H82" s="11">
        <v>46661</v>
      </c>
      <c r="I82" s="13" t="s">
        <v>23</v>
      </c>
      <c r="J82" s="26" t="str">
        <f>_xlfn.XLOOKUP(C82,EmployeeMaster!$A$1:$A$9,EmployeeMaster!$C$1:$C$9)</f>
        <v>Sales</v>
      </c>
      <c r="K82" t="str">
        <f>IFERROR(_xlfn.XLOOKUP(C82,EmployeeMaster!$A$1:$A$9,EmployeeMaster!$B$1:$B$9),"not found")</f>
        <v>John Taylor</v>
      </c>
      <c r="L82" t="str">
        <f>IFERROR(_xlfn.XLOOKUP(C82,EmployeeMaster!$A$1:$A$9,EmployeeMaster!$D$1:$D$9,"not found",0),"not found")</f>
        <v>Sales Manager</v>
      </c>
      <c r="M82" t="str">
        <f>IFERROR(_xlfn.XLOOKUP(C82,EmployeeMaster!$A$1:$A$9,EmployeeMaster!$E$1:$E$9),"not found")</f>
        <v>East</v>
      </c>
      <c r="N82" s="30">
        <f t="shared" si="1"/>
        <v>118.09434002700327</v>
      </c>
      <c r="O82">
        <f>_xlfn.XLOOKUP(M82,RegionBenchmarks!$A$1:$A$6,RegionBenchmarks!$B$1:$B$6)</f>
        <v>50000</v>
      </c>
    </row>
    <row r="83" spans="1:15" ht="18" customHeight="1" x14ac:dyDescent="0.35">
      <c r="A83" s="9">
        <v>572637</v>
      </c>
      <c r="B83" s="10">
        <v>45227</v>
      </c>
      <c r="C83" s="11" t="s">
        <v>7</v>
      </c>
      <c r="D83" s="12" t="s">
        <v>67</v>
      </c>
      <c r="E83" s="11" t="s">
        <v>56</v>
      </c>
      <c r="F83" s="11">
        <v>32</v>
      </c>
      <c r="G83" s="11">
        <v>45056</v>
      </c>
      <c r="H83" s="11">
        <v>44678</v>
      </c>
      <c r="I83" s="13" t="s">
        <v>11</v>
      </c>
      <c r="J83" s="26" t="str">
        <f>_xlfn.XLOOKUP(C83,EmployeeMaster!$A$1:$A$9,EmployeeMaster!$C$1:$C$9)</f>
        <v>Sales</v>
      </c>
      <c r="K83" t="str">
        <f>IFERROR(_xlfn.XLOOKUP(C83,EmployeeMaster!$A$1:$A$9,EmployeeMaster!$B$1:$B$9),"not found")</f>
        <v>Lynda Smith</v>
      </c>
      <c r="L83" t="str">
        <f>IFERROR(_xlfn.XLOOKUP(C83,EmployeeMaster!$A$1:$A$9,EmployeeMaster!$D$1:$D$9,"not found",0),"not found")</f>
        <v>Sales Executive</v>
      </c>
      <c r="M83" t="str">
        <f>IFERROR(_xlfn.XLOOKUP(C83,EmployeeMaster!$A$1:$A$9,EmployeeMaster!$E$1:$E$9),"not found")</f>
        <v>North</v>
      </c>
      <c r="N83" s="30">
        <f t="shared" si="1"/>
        <v>100.84605398630198</v>
      </c>
      <c r="O83">
        <f>_xlfn.XLOOKUP(M83,RegionBenchmarks!$A$1:$A$6,RegionBenchmarks!$B$1:$B$6)</f>
        <v>68500</v>
      </c>
    </row>
    <row r="84" spans="1:15" ht="18" customHeight="1" x14ac:dyDescent="0.35">
      <c r="A84" s="9">
        <v>889905</v>
      </c>
      <c r="B84" s="10">
        <v>45282</v>
      </c>
      <c r="C84" s="11" t="s">
        <v>32</v>
      </c>
      <c r="D84" s="12" t="s">
        <v>67</v>
      </c>
      <c r="E84" s="11" t="s">
        <v>57</v>
      </c>
      <c r="F84" s="11">
        <v>42</v>
      </c>
      <c r="G84" s="11">
        <v>69552</v>
      </c>
      <c r="H84" s="11">
        <v>66206</v>
      </c>
      <c r="I84" s="13" t="s">
        <v>35</v>
      </c>
      <c r="J84" s="26" t="str">
        <f>_xlfn.XLOOKUP(C84,EmployeeMaster!$A$1:$A$9,EmployeeMaster!$C$1:$C$9)</f>
        <v>Sales</v>
      </c>
      <c r="K84" t="str">
        <f>IFERROR(_xlfn.XLOOKUP(C84,EmployeeMaster!$A$1:$A$9,EmployeeMaster!$B$1:$B$9),"not found")</f>
        <v>Joe Lyn</v>
      </c>
      <c r="L84" t="str">
        <f>IFERROR(_xlfn.XLOOKUP(C84,EmployeeMaster!$A$1:$A$9,EmployeeMaster!$D$1:$D$9,"not found",0),"not found")</f>
        <v>Sales Associate</v>
      </c>
      <c r="M84" t="str">
        <f>IFERROR(_xlfn.XLOOKUP(C84,EmployeeMaster!$A$1:$A$9,EmployeeMaster!$E$1:$E$9),"not found")</f>
        <v>Central</v>
      </c>
      <c r="N84" s="30">
        <f t="shared" si="1"/>
        <v>105.05392260520195</v>
      </c>
      <c r="O84">
        <f>_xlfn.XLOOKUP(M84,RegionBenchmarks!$A$1:$A$6,RegionBenchmarks!$B$1:$B$6)</f>
        <v>45000</v>
      </c>
    </row>
    <row r="85" spans="1:15" ht="18" customHeight="1" x14ac:dyDescent="0.35">
      <c r="A85" s="9">
        <v>556516</v>
      </c>
      <c r="B85" s="10">
        <v>44992</v>
      </c>
      <c r="C85" s="11" t="s">
        <v>37</v>
      </c>
      <c r="D85" s="12" t="s">
        <v>67</v>
      </c>
      <c r="E85" s="11" t="s">
        <v>56</v>
      </c>
      <c r="F85" s="11">
        <v>21</v>
      </c>
      <c r="G85" s="11">
        <v>23478</v>
      </c>
      <c r="H85" s="11">
        <v>14109</v>
      </c>
      <c r="I85" s="13" t="s">
        <v>18</v>
      </c>
      <c r="J85" s="26" t="str">
        <f>_xlfn.XLOOKUP(C85,EmployeeMaster!$A$1:$A$9,EmployeeMaster!$C$1:$C$9)</f>
        <v>Sales</v>
      </c>
      <c r="K85" t="str">
        <f>IFERROR(_xlfn.XLOOKUP(C85,EmployeeMaster!$A$1:$A$9,EmployeeMaster!$B$1:$B$9),"not found")</f>
        <v>Fatima Zhang</v>
      </c>
      <c r="L85" t="str">
        <f>IFERROR(_xlfn.XLOOKUP(C85,EmployeeMaster!$A$1:$A$9,EmployeeMaster!$D$1:$D$9,"not found",0),"not found")</f>
        <v>Sales Executive</v>
      </c>
      <c r="M85" t="str">
        <f>IFERROR(_xlfn.XLOOKUP(C85,EmployeeMaster!$A$1:$A$9,EmployeeMaster!$E$1:$E$9),"not found")</f>
        <v>South</v>
      </c>
      <c r="N85" s="30">
        <f t="shared" si="1"/>
        <v>166.40442270890921</v>
      </c>
      <c r="O85">
        <f>_xlfn.XLOOKUP(M85,RegionBenchmarks!$A$1:$A$6,RegionBenchmarks!$B$1:$B$6)</f>
        <v>60000</v>
      </c>
    </row>
    <row r="86" spans="1:15" ht="18" customHeight="1" x14ac:dyDescent="0.35">
      <c r="A86" s="9">
        <v>296032</v>
      </c>
      <c r="B86" s="10">
        <v>45240</v>
      </c>
      <c r="C86" s="11" t="s">
        <v>32</v>
      </c>
      <c r="D86" s="12" t="s">
        <v>67</v>
      </c>
      <c r="E86" s="11" t="s">
        <v>58</v>
      </c>
      <c r="F86" s="11">
        <v>22</v>
      </c>
      <c r="G86" s="11">
        <v>24442</v>
      </c>
      <c r="H86" s="11">
        <v>19668</v>
      </c>
      <c r="I86" s="13" t="s">
        <v>35</v>
      </c>
      <c r="J86" s="26" t="str">
        <f>_xlfn.XLOOKUP(C86,EmployeeMaster!$A$1:$A$9,EmployeeMaster!$C$1:$C$9)</f>
        <v>Sales</v>
      </c>
      <c r="K86" t="str">
        <f>IFERROR(_xlfn.XLOOKUP(C86,EmployeeMaster!$A$1:$A$9,EmployeeMaster!$B$1:$B$9),"not found")</f>
        <v>Joe Lyn</v>
      </c>
      <c r="L86" t="str">
        <f>IFERROR(_xlfn.XLOOKUP(C86,EmployeeMaster!$A$1:$A$9,EmployeeMaster!$D$1:$D$9,"not found",0),"not found")</f>
        <v>Sales Associate</v>
      </c>
      <c r="M86" t="str">
        <f>IFERROR(_xlfn.XLOOKUP(C86,EmployeeMaster!$A$1:$A$9,EmployeeMaster!$E$1:$E$9),"not found")</f>
        <v>Central</v>
      </c>
      <c r="N86" s="30">
        <f t="shared" si="1"/>
        <v>124.27293064876956</v>
      </c>
      <c r="O86">
        <f>_xlfn.XLOOKUP(M86,RegionBenchmarks!$A$1:$A$6,RegionBenchmarks!$B$1:$B$6)</f>
        <v>45000</v>
      </c>
    </row>
    <row r="87" spans="1:15" ht="18" customHeight="1" x14ac:dyDescent="0.35">
      <c r="A87" s="9">
        <v>222196</v>
      </c>
      <c r="B87" s="10">
        <v>45252</v>
      </c>
      <c r="C87" s="11" t="s">
        <v>37</v>
      </c>
      <c r="D87" s="12" t="s">
        <v>68</v>
      </c>
      <c r="E87" s="11" t="s">
        <v>58</v>
      </c>
      <c r="F87" s="11">
        <v>47</v>
      </c>
      <c r="G87" s="11">
        <v>76140</v>
      </c>
      <c r="H87" s="11">
        <v>72761</v>
      </c>
      <c r="I87" s="13" t="s">
        <v>18</v>
      </c>
      <c r="J87" s="26" t="str">
        <f>_xlfn.XLOOKUP(C87,EmployeeMaster!$A$1:$A$9,EmployeeMaster!$C$1:$C$9)</f>
        <v>Sales</v>
      </c>
      <c r="K87" t="str">
        <f>IFERROR(_xlfn.XLOOKUP(C87,EmployeeMaster!$A$1:$A$9,EmployeeMaster!$B$1:$B$9),"not found")</f>
        <v>Fatima Zhang</v>
      </c>
      <c r="L87" t="str">
        <f>IFERROR(_xlfn.XLOOKUP(C87,EmployeeMaster!$A$1:$A$9,EmployeeMaster!$D$1:$D$9,"not found",0),"not found")</f>
        <v>Sales Executive</v>
      </c>
      <c r="M87" t="str">
        <f>IFERROR(_xlfn.XLOOKUP(C87,EmployeeMaster!$A$1:$A$9,EmployeeMaster!$E$1:$E$9),"not found")</f>
        <v>South</v>
      </c>
      <c r="N87" s="30">
        <f t="shared" si="1"/>
        <v>104.64397135828261</v>
      </c>
      <c r="O87">
        <f>_xlfn.XLOOKUP(M87,RegionBenchmarks!$A$1:$A$6,RegionBenchmarks!$B$1:$B$6)</f>
        <v>60000</v>
      </c>
    </row>
    <row r="88" spans="1:15" ht="18" customHeight="1" x14ac:dyDescent="0.35">
      <c r="A88" s="9">
        <v>297033</v>
      </c>
      <c r="B88" s="10">
        <v>45054</v>
      </c>
      <c r="C88" s="11" t="s">
        <v>26</v>
      </c>
      <c r="D88" s="12" t="s">
        <v>68</v>
      </c>
      <c r="E88" s="11" t="s">
        <v>56</v>
      </c>
      <c r="F88" s="11">
        <v>36</v>
      </c>
      <c r="G88" s="11">
        <v>37620</v>
      </c>
      <c r="H88" s="11">
        <v>31008</v>
      </c>
      <c r="I88" s="13" t="s">
        <v>30</v>
      </c>
      <c r="J88" s="26" t="str">
        <f>_xlfn.XLOOKUP(C88,EmployeeMaster!$A$1:$A$9,EmployeeMaster!$C$1:$C$9)</f>
        <v>Operations</v>
      </c>
      <c r="K88" t="str">
        <f>IFERROR(_xlfn.XLOOKUP(C88,EmployeeMaster!$A$1:$A$9,EmployeeMaster!$B$1:$B$9),"not found")</f>
        <v>Christi Davis</v>
      </c>
      <c r="L88" t="str">
        <f>IFERROR(_xlfn.XLOOKUP(C88,EmployeeMaster!$A$1:$A$9,EmployeeMaster!$D$1:$D$9,"not found",0),"not found")</f>
        <v>Ops Manager</v>
      </c>
      <c r="M88" t="str">
        <f>IFERROR(_xlfn.XLOOKUP(C88,EmployeeMaster!$A$1:$A$9,EmployeeMaster!$E$1:$E$9),"not found")</f>
        <v>West</v>
      </c>
      <c r="N88" s="30">
        <f t="shared" si="1"/>
        <v>121.3235294117647</v>
      </c>
      <c r="O88">
        <f>_xlfn.XLOOKUP(M88,RegionBenchmarks!$A$1:$A$6,RegionBenchmarks!$B$1:$B$6)</f>
        <v>55000</v>
      </c>
    </row>
    <row r="89" spans="1:15" ht="18" customHeight="1" x14ac:dyDescent="0.35">
      <c r="A89" s="9">
        <v>719040</v>
      </c>
      <c r="B89" s="10">
        <v>45120</v>
      </c>
      <c r="C89" s="11" t="s">
        <v>26</v>
      </c>
      <c r="D89" s="12" t="s">
        <v>68</v>
      </c>
      <c r="E89" s="11" t="s">
        <v>58</v>
      </c>
      <c r="F89" s="11">
        <v>43</v>
      </c>
      <c r="G89" s="11">
        <v>61963</v>
      </c>
      <c r="H89" s="11">
        <v>65817</v>
      </c>
      <c r="I89" s="13" t="s">
        <v>30</v>
      </c>
      <c r="J89" s="26" t="str">
        <f>_xlfn.XLOOKUP(C89,EmployeeMaster!$A$1:$A$9,EmployeeMaster!$C$1:$C$9)</f>
        <v>Operations</v>
      </c>
      <c r="K89" t="str">
        <f>IFERROR(_xlfn.XLOOKUP(C89,EmployeeMaster!$A$1:$A$9,EmployeeMaster!$B$1:$B$9),"not found")</f>
        <v>Christi Davis</v>
      </c>
      <c r="L89" t="str">
        <f>IFERROR(_xlfn.XLOOKUP(C89,EmployeeMaster!$A$1:$A$9,EmployeeMaster!$D$1:$D$9,"not found",0),"not found")</f>
        <v>Ops Manager</v>
      </c>
      <c r="M89" t="str">
        <f>IFERROR(_xlfn.XLOOKUP(C89,EmployeeMaster!$A$1:$A$9,EmployeeMaster!$E$1:$E$9),"not found")</f>
        <v>West</v>
      </c>
      <c r="N89" s="30">
        <f t="shared" si="1"/>
        <v>94.144369995593848</v>
      </c>
      <c r="O89">
        <f>_xlfn.XLOOKUP(M89,RegionBenchmarks!$A$1:$A$6,RegionBenchmarks!$B$1:$B$6)</f>
        <v>55000</v>
      </c>
    </row>
    <row r="90" spans="1:15" ht="18" customHeight="1" x14ac:dyDescent="0.35">
      <c r="A90" s="9">
        <v>819436</v>
      </c>
      <c r="B90" s="10">
        <v>44944</v>
      </c>
      <c r="C90" s="11" t="s">
        <v>37</v>
      </c>
      <c r="D90" s="12" t="s">
        <v>68</v>
      </c>
      <c r="E90" s="11" t="s">
        <v>57</v>
      </c>
      <c r="F90" s="11">
        <v>27</v>
      </c>
      <c r="G90" s="11">
        <v>46899</v>
      </c>
      <c r="H90" s="11">
        <v>37153</v>
      </c>
      <c r="I90" s="13" t="s">
        <v>18</v>
      </c>
      <c r="J90" s="26" t="str">
        <f>_xlfn.XLOOKUP(C90,EmployeeMaster!$A$1:$A$9,EmployeeMaster!$C$1:$C$9)</f>
        <v>Sales</v>
      </c>
      <c r="K90" t="str">
        <f>IFERROR(_xlfn.XLOOKUP(C90,EmployeeMaster!$A$1:$A$9,EmployeeMaster!$B$1:$B$9),"not found")</f>
        <v>Fatima Zhang</v>
      </c>
      <c r="L90" t="str">
        <f>IFERROR(_xlfn.XLOOKUP(C90,EmployeeMaster!$A$1:$A$9,EmployeeMaster!$D$1:$D$9,"not found",0),"not found")</f>
        <v>Sales Executive</v>
      </c>
      <c r="M90" t="str">
        <f>IFERROR(_xlfn.XLOOKUP(C90,EmployeeMaster!$A$1:$A$9,EmployeeMaster!$E$1:$E$9),"not found")</f>
        <v>South</v>
      </c>
      <c r="N90" s="30">
        <f t="shared" si="1"/>
        <v>126.23206739698006</v>
      </c>
      <c r="O90">
        <f>_xlfn.XLOOKUP(M90,RegionBenchmarks!$A$1:$A$6,RegionBenchmarks!$B$1:$B$6)</f>
        <v>60000</v>
      </c>
    </row>
    <row r="91" spans="1:15" ht="18" customHeight="1" x14ac:dyDescent="0.35">
      <c r="A91" s="9">
        <v>972881</v>
      </c>
      <c r="B91" s="10">
        <v>45100</v>
      </c>
      <c r="C91" s="11" t="s">
        <v>32</v>
      </c>
      <c r="D91" s="12" t="s">
        <v>68</v>
      </c>
      <c r="E91" s="11" t="s">
        <v>58</v>
      </c>
      <c r="F91" s="11">
        <v>46</v>
      </c>
      <c r="G91" s="11">
        <v>61364</v>
      </c>
      <c r="H91" s="11">
        <v>59772</v>
      </c>
      <c r="I91" s="13" t="s">
        <v>35</v>
      </c>
      <c r="J91" s="26" t="str">
        <f>_xlfn.XLOOKUP(C91,EmployeeMaster!$A$1:$A$9,EmployeeMaster!$C$1:$C$9)</f>
        <v>Sales</v>
      </c>
      <c r="K91" t="str">
        <f>IFERROR(_xlfn.XLOOKUP(C91,EmployeeMaster!$A$1:$A$9,EmployeeMaster!$B$1:$B$9),"not found")</f>
        <v>Joe Lyn</v>
      </c>
      <c r="L91" t="str">
        <f>IFERROR(_xlfn.XLOOKUP(C91,EmployeeMaster!$A$1:$A$9,EmployeeMaster!$D$1:$D$9,"not found",0),"not found")</f>
        <v>Sales Associate</v>
      </c>
      <c r="M91" t="str">
        <f>IFERROR(_xlfn.XLOOKUP(C91,EmployeeMaster!$A$1:$A$9,EmployeeMaster!$E$1:$E$9),"not found")</f>
        <v>Central</v>
      </c>
      <c r="N91" s="30">
        <f t="shared" si="1"/>
        <v>102.6634544602824</v>
      </c>
      <c r="O91">
        <f>_xlfn.XLOOKUP(M91,RegionBenchmarks!$A$1:$A$6,RegionBenchmarks!$B$1:$B$6)</f>
        <v>45000</v>
      </c>
    </row>
    <row r="92" spans="1:15" ht="18" customHeight="1" x14ac:dyDescent="0.35">
      <c r="A92" s="9">
        <v>783928</v>
      </c>
      <c r="B92" s="10">
        <v>44978</v>
      </c>
      <c r="C92" s="11" t="s">
        <v>20</v>
      </c>
      <c r="D92" s="12" t="s">
        <v>69</v>
      </c>
      <c r="E92" s="11" t="s">
        <v>57</v>
      </c>
      <c r="F92" s="11">
        <v>32</v>
      </c>
      <c r="G92" s="11">
        <v>45760</v>
      </c>
      <c r="H92" s="11">
        <v>39866</v>
      </c>
      <c r="I92" s="13" t="s">
        <v>23</v>
      </c>
      <c r="J92" s="26" t="str">
        <f>_xlfn.XLOOKUP(C92,EmployeeMaster!$A$1:$A$9,EmployeeMaster!$C$1:$C$9)</f>
        <v>Sales</v>
      </c>
      <c r="K92" t="str">
        <f>IFERROR(_xlfn.XLOOKUP(C92,EmployeeMaster!$A$1:$A$9,EmployeeMaster!$B$1:$B$9),"not found")</f>
        <v>Ronn Robinson</v>
      </c>
      <c r="L92" t="str">
        <f>IFERROR(_xlfn.XLOOKUP(C92,EmployeeMaster!$A$1:$A$9,EmployeeMaster!$D$1:$D$9,"not found",0),"not found")</f>
        <v>Sr. Sales Exec.</v>
      </c>
      <c r="M92" t="str">
        <f>IFERROR(_xlfn.XLOOKUP(C92,EmployeeMaster!$A$1:$A$9,EmployeeMaster!$E$1:$E$9),"not found")</f>
        <v>East</v>
      </c>
      <c r="N92" s="30">
        <f t="shared" si="1"/>
        <v>114.78452816936738</v>
      </c>
      <c r="O92">
        <f>_xlfn.XLOOKUP(M92,RegionBenchmarks!$A$1:$A$6,RegionBenchmarks!$B$1:$B$6)</f>
        <v>50000</v>
      </c>
    </row>
    <row r="93" spans="1:15" ht="18" customHeight="1" x14ac:dyDescent="0.35">
      <c r="A93" s="9">
        <v>951955</v>
      </c>
      <c r="B93" s="10">
        <v>44976</v>
      </c>
      <c r="C93" s="11" t="s">
        <v>20</v>
      </c>
      <c r="D93" s="12" t="s">
        <v>69</v>
      </c>
      <c r="E93" s="11" t="s">
        <v>57</v>
      </c>
      <c r="F93" s="11">
        <v>59</v>
      </c>
      <c r="G93" s="11">
        <v>93338</v>
      </c>
      <c r="H93" s="11">
        <v>93408</v>
      </c>
      <c r="I93" s="13" t="s">
        <v>23</v>
      </c>
      <c r="J93" s="26" t="str">
        <f>_xlfn.XLOOKUP(C93,EmployeeMaster!$A$1:$A$9,EmployeeMaster!$C$1:$C$9)</f>
        <v>Sales</v>
      </c>
      <c r="K93" t="str">
        <f>IFERROR(_xlfn.XLOOKUP(C93,EmployeeMaster!$A$1:$A$9,EmployeeMaster!$B$1:$B$9),"not found")</f>
        <v>Ronn Robinson</v>
      </c>
      <c r="L93" t="str">
        <f>IFERROR(_xlfn.XLOOKUP(C93,EmployeeMaster!$A$1:$A$9,EmployeeMaster!$D$1:$D$9,"not found",0),"not found")</f>
        <v>Sr. Sales Exec.</v>
      </c>
      <c r="M93" t="str">
        <f>IFERROR(_xlfn.XLOOKUP(C93,EmployeeMaster!$A$1:$A$9,EmployeeMaster!$E$1:$E$9),"not found")</f>
        <v>East</v>
      </c>
      <c r="N93" s="30">
        <f t="shared" si="1"/>
        <v>99.925059952038367</v>
      </c>
      <c r="O93">
        <f>_xlfn.XLOOKUP(M93,RegionBenchmarks!$A$1:$A$6,RegionBenchmarks!$B$1:$B$6)</f>
        <v>50000</v>
      </c>
    </row>
    <row r="94" spans="1:15" ht="18" customHeight="1" x14ac:dyDescent="0.35">
      <c r="A94" s="9">
        <v>500635</v>
      </c>
      <c r="B94" s="10">
        <v>45265</v>
      </c>
      <c r="C94" s="11" t="s">
        <v>7</v>
      </c>
      <c r="D94" s="12" t="s">
        <v>69</v>
      </c>
      <c r="E94" s="11" t="s">
        <v>57</v>
      </c>
      <c r="F94" s="11">
        <v>39</v>
      </c>
      <c r="G94" s="11">
        <v>50427</v>
      </c>
      <c r="H94" s="11">
        <v>51984</v>
      </c>
      <c r="I94" s="13" t="s">
        <v>11</v>
      </c>
      <c r="J94" s="26" t="str">
        <f>_xlfn.XLOOKUP(C94,EmployeeMaster!$A$1:$A$9,EmployeeMaster!$C$1:$C$9)</f>
        <v>Sales</v>
      </c>
      <c r="K94" t="str">
        <f>IFERROR(_xlfn.XLOOKUP(C94,EmployeeMaster!$A$1:$A$9,EmployeeMaster!$B$1:$B$9),"not found")</f>
        <v>Lynda Smith</v>
      </c>
      <c r="L94" t="str">
        <f>IFERROR(_xlfn.XLOOKUP(C94,EmployeeMaster!$A$1:$A$9,EmployeeMaster!$D$1:$D$9,"not found",0),"not found")</f>
        <v>Sales Executive</v>
      </c>
      <c r="M94" t="str">
        <f>IFERROR(_xlfn.XLOOKUP(C94,EmployeeMaster!$A$1:$A$9,EmployeeMaster!$E$1:$E$9),"not found")</f>
        <v>North</v>
      </c>
      <c r="N94" s="30">
        <f t="shared" si="1"/>
        <v>97.004847645429365</v>
      </c>
      <c r="O94">
        <f>_xlfn.XLOOKUP(M94,RegionBenchmarks!$A$1:$A$6,RegionBenchmarks!$B$1:$B$6)</f>
        <v>68500</v>
      </c>
    </row>
    <row r="95" spans="1:15" ht="18" customHeight="1" x14ac:dyDescent="0.35">
      <c r="A95" s="9">
        <v>120112</v>
      </c>
      <c r="B95" s="10">
        <v>45084</v>
      </c>
      <c r="C95" s="11" t="s">
        <v>37</v>
      </c>
      <c r="D95" s="12" t="s">
        <v>69</v>
      </c>
      <c r="E95" s="11" t="s">
        <v>56</v>
      </c>
      <c r="F95" s="11">
        <v>49</v>
      </c>
      <c r="G95" s="11">
        <v>71148</v>
      </c>
      <c r="H95" s="11">
        <v>68904</v>
      </c>
      <c r="I95" s="13" t="s">
        <v>18</v>
      </c>
      <c r="J95" s="26" t="str">
        <f>_xlfn.XLOOKUP(C95,EmployeeMaster!$A$1:$A$9,EmployeeMaster!$C$1:$C$9)</f>
        <v>Sales</v>
      </c>
      <c r="K95" t="str">
        <f>IFERROR(_xlfn.XLOOKUP(C95,EmployeeMaster!$A$1:$A$9,EmployeeMaster!$B$1:$B$9),"not found")</f>
        <v>Fatima Zhang</v>
      </c>
      <c r="L95" t="str">
        <f>IFERROR(_xlfn.XLOOKUP(C95,EmployeeMaster!$A$1:$A$9,EmployeeMaster!$D$1:$D$9,"not found",0),"not found")</f>
        <v>Sales Executive</v>
      </c>
      <c r="M95" t="str">
        <f>IFERROR(_xlfn.XLOOKUP(C95,EmployeeMaster!$A$1:$A$9,EmployeeMaster!$E$1:$E$9),"not found")</f>
        <v>South</v>
      </c>
      <c r="N95" s="30">
        <f t="shared" si="1"/>
        <v>103.25670498084291</v>
      </c>
      <c r="O95">
        <f>_xlfn.XLOOKUP(M95,RegionBenchmarks!$A$1:$A$6,RegionBenchmarks!$B$1:$B$6)</f>
        <v>60000</v>
      </c>
    </row>
    <row r="96" spans="1:15" ht="18" customHeight="1" x14ac:dyDescent="0.35">
      <c r="A96" s="9">
        <v>746721</v>
      </c>
      <c r="B96" s="10">
        <v>45116</v>
      </c>
      <c r="C96" s="11" t="s">
        <v>44</v>
      </c>
      <c r="D96" s="12" t="s">
        <v>69</v>
      </c>
      <c r="E96" s="11" t="s">
        <v>57</v>
      </c>
      <c r="F96" s="11">
        <v>30</v>
      </c>
      <c r="G96" s="11">
        <v>50220</v>
      </c>
      <c r="H96" s="11">
        <v>53831</v>
      </c>
      <c r="I96" s="13" t="s">
        <v>23</v>
      </c>
      <c r="J96" s="26" t="str">
        <f>_xlfn.XLOOKUP(C96,EmployeeMaster!$A$1:$A$9,EmployeeMaster!$C$1:$C$9)</f>
        <v>Sales</v>
      </c>
      <c r="K96" t="str">
        <f>IFERROR(_xlfn.XLOOKUP(C96,EmployeeMaster!$A$1:$A$9,EmployeeMaster!$B$1:$B$9),"not found")</f>
        <v>John Taylor</v>
      </c>
      <c r="L96" t="str">
        <f>IFERROR(_xlfn.XLOOKUP(C96,EmployeeMaster!$A$1:$A$9,EmployeeMaster!$D$1:$D$9,"not found",0),"not found")</f>
        <v>Sales Manager</v>
      </c>
      <c r="M96" t="str">
        <f>IFERROR(_xlfn.XLOOKUP(C96,EmployeeMaster!$A$1:$A$9,EmployeeMaster!$E$1:$E$9),"not found")</f>
        <v>East</v>
      </c>
      <c r="N96" s="30">
        <f t="shared" si="1"/>
        <v>93.291969311363346</v>
      </c>
      <c r="O96">
        <f>_xlfn.XLOOKUP(M96,RegionBenchmarks!$A$1:$A$6,RegionBenchmarks!$B$1:$B$6)</f>
        <v>50000</v>
      </c>
    </row>
    <row r="97" spans="1:15" ht="18" customHeight="1" x14ac:dyDescent="0.35">
      <c r="A97" s="9">
        <v>149864</v>
      </c>
      <c r="B97" s="10">
        <v>45283</v>
      </c>
      <c r="C97" s="11" t="s">
        <v>37</v>
      </c>
      <c r="D97" s="12" t="s">
        <v>69</v>
      </c>
      <c r="E97" s="11" t="s">
        <v>57</v>
      </c>
      <c r="F97" s="11">
        <v>25</v>
      </c>
      <c r="G97" s="11">
        <v>45950</v>
      </c>
      <c r="H97" s="11">
        <v>38644</v>
      </c>
      <c r="I97" s="13" t="s">
        <v>18</v>
      </c>
      <c r="J97" s="26" t="str">
        <f>_xlfn.XLOOKUP(C97,EmployeeMaster!$A$1:$A$9,EmployeeMaster!$C$1:$C$9)</f>
        <v>Sales</v>
      </c>
      <c r="K97" t="str">
        <f>IFERROR(_xlfn.XLOOKUP(C97,EmployeeMaster!$A$1:$A$9,EmployeeMaster!$B$1:$B$9),"not found")</f>
        <v>Fatima Zhang</v>
      </c>
      <c r="L97" t="str">
        <f>IFERROR(_xlfn.XLOOKUP(C97,EmployeeMaster!$A$1:$A$9,EmployeeMaster!$D$1:$D$9,"not found",0),"not found")</f>
        <v>Sales Executive</v>
      </c>
      <c r="M97" t="str">
        <f>IFERROR(_xlfn.XLOOKUP(C97,EmployeeMaster!$A$1:$A$9,EmployeeMaster!$E$1:$E$9),"not found")</f>
        <v>South</v>
      </c>
      <c r="N97" s="30">
        <f t="shared" si="1"/>
        <v>118.90591036124624</v>
      </c>
      <c r="O97">
        <f>_xlfn.XLOOKUP(M97,RegionBenchmarks!$A$1:$A$6,RegionBenchmarks!$B$1:$B$6)</f>
        <v>60000</v>
      </c>
    </row>
    <row r="98" spans="1:15" ht="18" customHeight="1" x14ac:dyDescent="0.35">
      <c r="A98" s="9">
        <v>913305</v>
      </c>
      <c r="B98" s="10">
        <v>45194</v>
      </c>
      <c r="C98" s="11" t="s">
        <v>32</v>
      </c>
      <c r="D98" s="12" t="s">
        <v>69</v>
      </c>
      <c r="E98" s="11" t="s">
        <v>56</v>
      </c>
      <c r="F98" s="11">
        <v>34</v>
      </c>
      <c r="G98" s="11">
        <v>62050</v>
      </c>
      <c r="H98" s="11">
        <v>63788</v>
      </c>
      <c r="I98" s="13" t="s">
        <v>35</v>
      </c>
      <c r="J98" s="26" t="str">
        <f>_xlfn.XLOOKUP(C98,EmployeeMaster!$A$1:$A$9,EmployeeMaster!$C$1:$C$9)</f>
        <v>Sales</v>
      </c>
      <c r="K98" t="str">
        <f>IFERROR(_xlfn.XLOOKUP(C98,EmployeeMaster!$A$1:$A$9,EmployeeMaster!$B$1:$B$9),"not found")</f>
        <v>Joe Lyn</v>
      </c>
      <c r="L98" t="str">
        <f>IFERROR(_xlfn.XLOOKUP(C98,EmployeeMaster!$A$1:$A$9,EmployeeMaster!$D$1:$D$9,"not found",0),"not found")</f>
        <v>Sales Associate</v>
      </c>
      <c r="M98" t="str">
        <f>IFERROR(_xlfn.XLOOKUP(C98,EmployeeMaster!$A$1:$A$9,EmployeeMaster!$E$1:$E$9),"not found")</f>
        <v>Central</v>
      </c>
      <c r="N98" s="30">
        <f t="shared" si="1"/>
        <v>97.275349595535204</v>
      </c>
      <c r="O98">
        <f>_xlfn.XLOOKUP(M98,RegionBenchmarks!$A$1:$A$6,RegionBenchmarks!$B$1:$B$6)</f>
        <v>45000</v>
      </c>
    </row>
    <row r="99" spans="1:15" ht="18" customHeight="1" x14ac:dyDescent="0.35">
      <c r="A99" s="9">
        <v>349637</v>
      </c>
      <c r="B99" s="10">
        <v>44944</v>
      </c>
      <c r="C99" s="11" t="s">
        <v>7</v>
      </c>
      <c r="D99" s="12" t="s">
        <v>69</v>
      </c>
      <c r="E99" s="11" t="s">
        <v>58</v>
      </c>
      <c r="F99" s="11">
        <v>35</v>
      </c>
      <c r="G99" s="11">
        <v>52010</v>
      </c>
      <c r="H99" s="11">
        <v>46995</v>
      </c>
      <c r="I99" s="13" t="s">
        <v>11</v>
      </c>
      <c r="J99" s="26" t="str">
        <f>_xlfn.XLOOKUP(C99,EmployeeMaster!$A$1:$A$9,EmployeeMaster!$C$1:$C$9)</f>
        <v>Sales</v>
      </c>
      <c r="K99" t="str">
        <f>IFERROR(_xlfn.XLOOKUP(C99,EmployeeMaster!$A$1:$A$9,EmployeeMaster!$B$1:$B$9),"not found")</f>
        <v>Lynda Smith</v>
      </c>
      <c r="L99" t="str">
        <f>IFERROR(_xlfn.XLOOKUP(C99,EmployeeMaster!$A$1:$A$9,EmployeeMaster!$D$1:$D$9,"not found",0),"not found")</f>
        <v>Sales Executive</v>
      </c>
      <c r="M99" t="str">
        <f>IFERROR(_xlfn.XLOOKUP(C99,EmployeeMaster!$A$1:$A$9,EmployeeMaster!$E$1:$E$9),"not found")</f>
        <v>North</v>
      </c>
      <c r="N99" s="30">
        <f t="shared" si="1"/>
        <v>110.67134801574636</v>
      </c>
      <c r="O99">
        <f>_xlfn.XLOOKUP(M99,RegionBenchmarks!$A$1:$A$6,RegionBenchmarks!$B$1:$B$6)</f>
        <v>68500</v>
      </c>
    </row>
    <row r="100" spans="1:15" ht="18" customHeight="1" x14ac:dyDescent="0.35">
      <c r="A100" s="9">
        <v>112584</v>
      </c>
      <c r="B100" s="14">
        <v>45012</v>
      </c>
      <c r="C100" s="11" t="s">
        <v>40</v>
      </c>
      <c r="D100" s="12" t="s">
        <v>69</v>
      </c>
      <c r="E100" s="11" t="s">
        <v>57</v>
      </c>
      <c r="F100" s="11">
        <v>60</v>
      </c>
      <c r="G100" s="11">
        <v>95340</v>
      </c>
      <c r="H100" s="11">
        <v>97155</v>
      </c>
      <c r="I100" s="13" t="s">
        <v>11</v>
      </c>
      <c r="J100" s="26" t="str">
        <f>_xlfn.XLOOKUP(C100,EmployeeMaster!$A$1:$A$9,EmployeeMaster!$C$1:$C$9)</f>
        <v>Marketing</v>
      </c>
      <c r="K100" t="str">
        <f>IFERROR(_xlfn.XLOOKUP(C100,EmployeeMaster!$A$1:$A$9,EmployeeMaster!$B$1:$B$9),"not found")</f>
        <v>Martina Brands</v>
      </c>
      <c r="L100" t="str">
        <f>IFERROR(_xlfn.XLOOKUP(C100,EmployeeMaster!$A$1:$A$9,EmployeeMaster!$D$1:$D$9,"not found",0),"not found")</f>
        <v>Brand Manager</v>
      </c>
      <c r="M100" t="str">
        <f>IFERROR(_xlfn.XLOOKUP(C100,EmployeeMaster!$A$1:$A$9,EmployeeMaster!$E$1:$E$9),"not found")</f>
        <v>North</v>
      </c>
      <c r="N100" s="30">
        <f t="shared" si="1"/>
        <v>98.131851165663122</v>
      </c>
      <c r="O100">
        <f>_xlfn.XLOOKUP(M100,RegionBenchmarks!$A$1:$A$6,RegionBenchmarks!$B$1:$B$6)</f>
        <v>68500</v>
      </c>
    </row>
    <row r="101" spans="1:15" ht="18" customHeight="1" x14ac:dyDescent="0.35">
      <c r="A101" s="15">
        <v>525728</v>
      </c>
      <c r="B101" s="10">
        <v>45265</v>
      </c>
      <c r="C101" s="16" t="s">
        <v>40</v>
      </c>
      <c r="D101" s="17" t="s">
        <v>69</v>
      </c>
      <c r="E101" s="16" t="s">
        <v>57</v>
      </c>
      <c r="F101" s="16">
        <v>51</v>
      </c>
      <c r="G101" s="16">
        <v>71859</v>
      </c>
      <c r="H101" s="16">
        <v>72862</v>
      </c>
      <c r="I101" s="2" t="s">
        <v>11</v>
      </c>
      <c r="J101" s="26" t="str">
        <f>_xlfn.XLOOKUP(C101,EmployeeMaster!$A$1:$A$9,EmployeeMaster!$C$1:$C$9)</f>
        <v>Marketing</v>
      </c>
      <c r="K101" t="str">
        <f>IFERROR(_xlfn.XLOOKUP(C101,EmployeeMaster!$A$1:$A$9,EmployeeMaster!$B$1:$B$9),"not found")</f>
        <v>Martina Brands</v>
      </c>
      <c r="L101" t="str">
        <f>IFERROR(_xlfn.XLOOKUP(C101,EmployeeMaster!$A$1:$A$9,EmployeeMaster!$D$1:$D$9,"not found",0),"not found")</f>
        <v>Brand Manager</v>
      </c>
      <c r="M101" t="str">
        <f>IFERROR(_xlfn.XLOOKUP(C101,EmployeeMaster!$A$1:$A$9,EmployeeMaster!$E$1:$E$9),"not found")</f>
        <v>North</v>
      </c>
      <c r="N101" s="30">
        <f t="shared" si="1"/>
        <v>98.623425104993004</v>
      </c>
      <c r="O101">
        <f>_xlfn.XLOOKUP(M101,RegionBenchmarks!$A$1:$A$6,RegionBenchmarks!$B$1:$B$6)</f>
        <v>68500</v>
      </c>
    </row>
    <row r="102" spans="1:15" ht="14.25" customHeight="1" x14ac:dyDescent="0.35">
      <c r="A102" s="18"/>
      <c r="D102" s="19"/>
    </row>
    <row r="103" spans="1:15" ht="14.25" customHeight="1" x14ac:dyDescent="0.35">
      <c r="A103" s="18"/>
      <c r="D103" s="19"/>
    </row>
    <row r="104" spans="1:15" ht="14.25" customHeight="1" x14ac:dyDescent="0.35">
      <c r="A104" s="18"/>
      <c r="D104" s="19"/>
    </row>
    <row r="105" spans="1:15" ht="14.25" customHeight="1" x14ac:dyDescent="0.35">
      <c r="A105" s="18"/>
      <c r="D105" s="19"/>
    </row>
    <row r="106" spans="1:15" ht="14.25" customHeight="1" x14ac:dyDescent="0.35">
      <c r="A106" s="18"/>
      <c r="D106" s="19"/>
    </row>
    <row r="107" spans="1:15" ht="14.25" customHeight="1" x14ac:dyDescent="0.35">
      <c r="A107" s="18"/>
      <c r="D107" s="19"/>
    </row>
    <row r="108" spans="1:15" ht="14.25" customHeight="1" x14ac:dyDescent="0.35">
      <c r="A108" s="18"/>
      <c r="D108" s="19"/>
    </row>
    <row r="109" spans="1:15" ht="14.25" customHeight="1" x14ac:dyDescent="0.35">
      <c r="A109" s="18"/>
      <c r="D109" s="19"/>
    </row>
    <row r="110" spans="1:15" ht="14.25" customHeight="1" x14ac:dyDescent="0.35">
      <c r="A110" s="18"/>
      <c r="D110" s="19"/>
    </row>
    <row r="111" spans="1:15" ht="14.25" customHeight="1" x14ac:dyDescent="0.35">
      <c r="A111" s="18"/>
      <c r="D111" s="19"/>
    </row>
    <row r="112" spans="1:15" ht="14.25" customHeight="1" x14ac:dyDescent="0.35">
      <c r="A112" s="18"/>
      <c r="D112" s="19"/>
    </row>
    <row r="113" spans="1:4" ht="14.25" customHeight="1" x14ac:dyDescent="0.35">
      <c r="A113" s="18"/>
      <c r="D113" s="19"/>
    </row>
    <row r="114" spans="1:4" ht="14.25" customHeight="1" x14ac:dyDescent="0.35">
      <c r="A114" s="18"/>
      <c r="D114" s="19"/>
    </row>
    <row r="115" spans="1:4" ht="14.25" customHeight="1" x14ac:dyDescent="0.35">
      <c r="A115" s="18"/>
      <c r="D115" s="19"/>
    </row>
    <row r="116" spans="1:4" ht="14.25" customHeight="1" x14ac:dyDescent="0.35">
      <c r="A116" s="18"/>
      <c r="D116" s="19"/>
    </row>
    <row r="117" spans="1:4" ht="14.25" customHeight="1" x14ac:dyDescent="0.35">
      <c r="A117" s="18"/>
      <c r="D117" s="19"/>
    </row>
    <row r="118" spans="1:4" ht="14.25" customHeight="1" x14ac:dyDescent="0.35">
      <c r="A118" s="18"/>
      <c r="D118" s="19"/>
    </row>
    <row r="119" spans="1:4" ht="14.25" customHeight="1" x14ac:dyDescent="0.35">
      <c r="A119" s="18"/>
      <c r="D119" s="19"/>
    </row>
    <row r="120" spans="1:4" ht="14.25" customHeight="1" x14ac:dyDescent="0.35">
      <c r="A120" s="18"/>
      <c r="D120" s="19"/>
    </row>
    <row r="121" spans="1:4" ht="14.25" customHeight="1" x14ac:dyDescent="0.35">
      <c r="A121" s="18"/>
      <c r="D121" s="19"/>
    </row>
    <row r="122" spans="1:4" ht="14.25" customHeight="1" x14ac:dyDescent="0.35">
      <c r="A122" s="18"/>
      <c r="D122" s="19"/>
    </row>
    <row r="123" spans="1:4" ht="14.25" customHeight="1" x14ac:dyDescent="0.35">
      <c r="A123" s="18"/>
      <c r="D123" s="19"/>
    </row>
    <row r="124" spans="1:4" ht="14.25" customHeight="1" x14ac:dyDescent="0.35">
      <c r="A124" s="18"/>
      <c r="D124" s="19"/>
    </row>
    <row r="125" spans="1:4" ht="14.25" customHeight="1" x14ac:dyDescent="0.35">
      <c r="A125" s="18"/>
      <c r="D125" s="19"/>
    </row>
    <row r="126" spans="1:4" ht="14.25" customHeight="1" x14ac:dyDescent="0.35">
      <c r="A126" s="18"/>
      <c r="D126" s="19"/>
    </row>
    <row r="127" spans="1:4" ht="14.25" customHeight="1" x14ac:dyDescent="0.35">
      <c r="A127" s="18"/>
      <c r="D127" s="19"/>
    </row>
    <row r="128" spans="1:4" ht="14.25" customHeight="1" x14ac:dyDescent="0.35">
      <c r="A128" s="18"/>
      <c r="D128" s="19"/>
    </row>
    <row r="129" spans="1:4" ht="14.25" customHeight="1" x14ac:dyDescent="0.35">
      <c r="A129" s="18"/>
      <c r="D129" s="19"/>
    </row>
    <row r="130" spans="1:4" ht="14.25" customHeight="1" x14ac:dyDescent="0.35">
      <c r="A130" s="18"/>
      <c r="D130" s="19"/>
    </row>
    <row r="131" spans="1:4" ht="14.25" customHeight="1" x14ac:dyDescent="0.35">
      <c r="A131" s="18"/>
      <c r="D131" s="19"/>
    </row>
    <row r="132" spans="1:4" ht="14.25" customHeight="1" x14ac:dyDescent="0.35">
      <c r="A132" s="18"/>
      <c r="D132" s="19"/>
    </row>
    <row r="133" spans="1:4" ht="14.25" customHeight="1" x14ac:dyDescent="0.35">
      <c r="A133" s="18"/>
      <c r="D133" s="19"/>
    </row>
    <row r="134" spans="1:4" ht="14.25" customHeight="1" x14ac:dyDescent="0.35">
      <c r="A134" s="18"/>
      <c r="D134" s="19"/>
    </row>
    <row r="135" spans="1:4" ht="14.25" customHeight="1" x14ac:dyDescent="0.35">
      <c r="A135" s="18"/>
      <c r="D135" s="19"/>
    </row>
    <row r="136" spans="1:4" ht="14.25" customHeight="1" x14ac:dyDescent="0.35">
      <c r="A136" s="18"/>
      <c r="D136" s="19"/>
    </row>
    <row r="137" spans="1:4" ht="14.25" customHeight="1" x14ac:dyDescent="0.35">
      <c r="A137" s="18"/>
      <c r="D137" s="19"/>
    </row>
    <row r="138" spans="1:4" ht="14.25" customHeight="1" x14ac:dyDescent="0.35">
      <c r="A138" s="18"/>
      <c r="D138" s="19"/>
    </row>
    <row r="139" spans="1:4" ht="14.25" customHeight="1" x14ac:dyDescent="0.35">
      <c r="A139" s="18"/>
      <c r="D139" s="19"/>
    </row>
    <row r="140" spans="1:4" ht="14.25" customHeight="1" x14ac:dyDescent="0.35">
      <c r="A140" s="18"/>
      <c r="D140" s="19"/>
    </row>
    <row r="141" spans="1:4" ht="14.25" customHeight="1" x14ac:dyDescent="0.35">
      <c r="A141" s="18"/>
      <c r="D141" s="19"/>
    </row>
    <row r="142" spans="1:4" ht="14.25" customHeight="1" x14ac:dyDescent="0.35">
      <c r="A142" s="18"/>
      <c r="D142" s="19"/>
    </row>
    <row r="143" spans="1:4" ht="14.25" customHeight="1" x14ac:dyDescent="0.35">
      <c r="A143" s="18"/>
      <c r="D143" s="19"/>
    </row>
    <row r="144" spans="1:4" ht="14.25" customHeight="1" x14ac:dyDescent="0.35">
      <c r="A144" s="18"/>
      <c r="D144" s="19"/>
    </row>
    <row r="145" spans="1:4" ht="14.25" customHeight="1" x14ac:dyDescent="0.35">
      <c r="A145" s="18"/>
      <c r="D145" s="19"/>
    </row>
    <row r="146" spans="1:4" ht="14.25" customHeight="1" x14ac:dyDescent="0.35">
      <c r="A146" s="18"/>
      <c r="D146" s="19"/>
    </row>
    <row r="147" spans="1:4" ht="14.25" customHeight="1" x14ac:dyDescent="0.35">
      <c r="A147" s="18"/>
      <c r="D147" s="19"/>
    </row>
    <row r="148" spans="1:4" ht="14.25" customHeight="1" x14ac:dyDescent="0.35">
      <c r="A148" s="18"/>
      <c r="D148" s="19"/>
    </row>
    <row r="149" spans="1:4" ht="14.25" customHeight="1" x14ac:dyDescent="0.35">
      <c r="A149" s="18"/>
      <c r="D149" s="19"/>
    </row>
    <row r="150" spans="1:4" ht="14.25" customHeight="1" x14ac:dyDescent="0.35">
      <c r="A150" s="18"/>
      <c r="D150" s="19"/>
    </row>
    <row r="151" spans="1:4" ht="14.25" customHeight="1" x14ac:dyDescent="0.35">
      <c r="A151" s="18"/>
      <c r="D151" s="19"/>
    </row>
    <row r="152" spans="1:4" ht="14.25" customHeight="1" x14ac:dyDescent="0.35">
      <c r="A152" s="18"/>
      <c r="D152" s="19"/>
    </row>
    <row r="153" spans="1:4" ht="14.25" customHeight="1" x14ac:dyDescent="0.35">
      <c r="A153" s="18"/>
      <c r="D153" s="19"/>
    </row>
    <row r="154" spans="1:4" ht="14.25" customHeight="1" x14ac:dyDescent="0.35">
      <c r="A154" s="18"/>
      <c r="D154" s="19"/>
    </row>
    <row r="155" spans="1:4" ht="14.25" customHeight="1" x14ac:dyDescent="0.35">
      <c r="A155" s="18"/>
      <c r="D155" s="19"/>
    </row>
    <row r="156" spans="1:4" ht="14.25" customHeight="1" x14ac:dyDescent="0.35">
      <c r="A156" s="18"/>
      <c r="D156" s="19"/>
    </row>
    <row r="157" spans="1:4" ht="14.25" customHeight="1" x14ac:dyDescent="0.35">
      <c r="A157" s="18"/>
      <c r="D157" s="19"/>
    </row>
    <row r="158" spans="1:4" ht="14.25" customHeight="1" x14ac:dyDescent="0.35">
      <c r="A158" s="18"/>
      <c r="D158" s="19"/>
    </row>
    <row r="159" spans="1:4" ht="14.25" customHeight="1" x14ac:dyDescent="0.35">
      <c r="A159" s="18"/>
      <c r="D159" s="19"/>
    </row>
    <row r="160" spans="1:4" ht="14.25" customHeight="1" x14ac:dyDescent="0.35">
      <c r="A160" s="18"/>
      <c r="D160" s="19"/>
    </row>
    <row r="161" spans="1:4" ht="14.25" customHeight="1" x14ac:dyDescent="0.35">
      <c r="A161" s="18"/>
      <c r="D161" s="19"/>
    </row>
    <row r="162" spans="1:4" ht="14.25" customHeight="1" x14ac:dyDescent="0.35">
      <c r="A162" s="18"/>
      <c r="D162" s="19"/>
    </row>
    <row r="163" spans="1:4" ht="14.25" customHeight="1" x14ac:dyDescent="0.35">
      <c r="A163" s="18"/>
      <c r="D163" s="19"/>
    </row>
    <row r="164" spans="1:4" ht="14.25" customHeight="1" x14ac:dyDescent="0.35">
      <c r="A164" s="18"/>
      <c r="D164" s="19"/>
    </row>
    <row r="165" spans="1:4" ht="14.25" customHeight="1" x14ac:dyDescent="0.35">
      <c r="A165" s="18"/>
      <c r="D165" s="19"/>
    </row>
    <row r="166" spans="1:4" ht="14.25" customHeight="1" x14ac:dyDescent="0.35">
      <c r="A166" s="18"/>
      <c r="D166" s="19"/>
    </row>
    <row r="167" spans="1:4" ht="14.25" customHeight="1" x14ac:dyDescent="0.35">
      <c r="A167" s="18"/>
      <c r="D167" s="19"/>
    </row>
    <row r="168" spans="1:4" ht="14.25" customHeight="1" x14ac:dyDescent="0.35">
      <c r="A168" s="18"/>
      <c r="D168" s="19"/>
    </row>
    <row r="169" spans="1:4" ht="14.25" customHeight="1" x14ac:dyDescent="0.35">
      <c r="A169" s="18"/>
      <c r="D169" s="19"/>
    </row>
    <row r="170" spans="1:4" ht="14.25" customHeight="1" x14ac:dyDescent="0.35">
      <c r="A170" s="18"/>
      <c r="D170" s="19"/>
    </row>
    <row r="171" spans="1:4" ht="14.25" customHeight="1" x14ac:dyDescent="0.35">
      <c r="A171" s="18"/>
      <c r="D171" s="19"/>
    </row>
    <row r="172" spans="1:4" ht="14.25" customHeight="1" x14ac:dyDescent="0.35">
      <c r="A172" s="18"/>
      <c r="D172" s="19"/>
    </row>
    <row r="173" spans="1:4" ht="14.25" customHeight="1" x14ac:dyDescent="0.35">
      <c r="A173" s="18"/>
      <c r="D173" s="19"/>
    </row>
    <row r="174" spans="1:4" ht="14.25" customHeight="1" x14ac:dyDescent="0.35">
      <c r="A174" s="18"/>
      <c r="D174" s="19"/>
    </row>
    <row r="175" spans="1:4" ht="14.25" customHeight="1" x14ac:dyDescent="0.35">
      <c r="A175" s="18"/>
      <c r="D175" s="19"/>
    </row>
    <row r="176" spans="1:4" ht="14.25" customHeight="1" x14ac:dyDescent="0.35">
      <c r="A176" s="18"/>
      <c r="D176" s="19"/>
    </row>
    <row r="177" spans="1:4" ht="14.25" customHeight="1" x14ac:dyDescent="0.35">
      <c r="A177" s="18"/>
      <c r="D177" s="19"/>
    </row>
    <row r="178" spans="1:4" ht="14.25" customHeight="1" x14ac:dyDescent="0.35">
      <c r="A178" s="18"/>
      <c r="D178" s="19"/>
    </row>
    <row r="179" spans="1:4" ht="14.25" customHeight="1" x14ac:dyDescent="0.35">
      <c r="A179" s="18"/>
      <c r="D179" s="19"/>
    </row>
    <row r="180" spans="1:4" ht="14.25" customHeight="1" x14ac:dyDescent="0.35">
      <c r="A180" s="18"/>
      <c r="D180" s="19"/>
    </row>
    <row r="181" spans="1:4" ht="14.25" customHeight="1" x14ac:dyDescent="0.35">
      <c r="A181" s="18"/>
      <c r="D181" s="19"/>
    </row>
    <row r="182" spans="1:4" ht="14.25" customHeight="1" x14ac:dyDescent="0.35">
      <c r="A182" s="18"/>
      <c r="D182" s="19"/>
    </row>
    <row r="183" spans="1:4" ht="14.25" customHeight="1" x14ac:dyDescent="0.35">
      <c r="A183" s="18"/>
      <c r="D183" s="19"/>
    </row>
    <row r="184" spans="1:4" ht="14.25" customHeight="1" x14ac:dyDescent="0.35">
      <c r="A184" s="18"/>
      <c r="D184" s="19"/>
    </row>
    <row r="185" spans="1:4" ht="14.25" customHeight="1" x14ac:dyDescent="0.35">
      <c r="A185" s="18"/>
      <c r="D185" s="19"/>
    </row>
    <row r="186" spans="1:4" ht="14.25" customHeight="1" x14ac:dyDescent="0.35">
      <c r="A186" s="18"/>
      <c r="D186" s="19"/>
    </row>
    <row r="187" spans="1:4" ht="14.25" customHeight="1" x14ac:dyDescent="0.35">
      <c r="A187" s="18"/>
      <c r="D187" s="19"/>
    </row>
    <row r="188" spans="1:4" ht="14.25" customHeight="1" x14ac:dyDescent="0.35">
      <c r="A188" s="18"/>
      <c r="D188" s="19"/>
    </row>
    <row r="189" spans="1:4" ht="14.25" customHeight="1" x14ac:dyDescent="0.35">
      <c r="A189" s="18"/>
      <c r="D189" s="19"/>
    </row>
    <row r="190" spans="1:4" ht="14.25" customHeight="1" x14ac:dyDescent="0.35">
      <c r="A190" s="18"/>
      <c r="D190" s="19"/>
    </row>
    <row r="191" spans="1:4" ht="14.25" customHeight="1" x14ac:dyDescent="0.35">
      <c r="A191" s="18"/>
      <c r="D191" s="19"/>
    </row>
    <row r="192" spans="1:4" ht="14.25" customHeight="1" x14ac:dyDescent="0.35">
      <c r="A192" s="18"/>
      <c r="D192" s="19"/>
    </row>
    <row r="193" spans="1:4" ht="14.25" customHeight="1" x14ac:dyDescent="0.35">
      <c r="A193" s="18"/>
      <c r="D193" s="19"/>
    </row>
    <row r="194" spans="1:4" ht="14.25" customHeight="1" x14ac:dyDescent="0.35">
      <c r="A194" s="18"/>
      <c r="D194" s="19"/>
    </row>
    <row r="195" spans="1:4" ht="14.25" customHeight="1" x14ac:dyDescent="0.35">
      <c r="A195" s="18"/>
      <c r="D195" s="19"/>
    </row>
    <row r="196" spans="1:4" ht="14.25" customHeight="1" x14ac:dyDescent="0.35">
      <c r="A196" s="18"/>
      <c r="D196" s="19"/>
    </row>
    <row r="197" spans="1:4" ht="14.25" customHeight="1" x14ac:dyDescent="0.35">
      <c r="A197" s="18"/>
      <c r="D197" s="19"/>
    </row>
    <row r="198" spans="1:4" ht="14.25" customHeight="1" x14ac:dyDescent="0.35">
      <c r="A198" s="18"/>
      <c r="D198" s="19"/>
    </row>
    <row r="199" spans="1:4" ht="14.25" customHeight="1" x14ac:dyDescent="0.35">
      <c r="A199" s="18"/>
      <c r="D199" s="19"/>
    </row>
    <row r="200" spans="1:4" ht="14.25" customHeight="1" x14ac:dyDescent="0.35">
      <c r="A200" s="18"/>
      <c r="D200" s="19"/>
    </row>
    <row r="201" spans="1:4" ht="14.25" customHeight="1" x14ac:dyDescent="0.35">
      <c r="A201" s="18"/>
      <c r="D201" s="19"/>
    </row>
    <row r="202" spans="1:4" ht="14.25" customHeight="1" x14ac:dyDescent="0.35">
      <c r="A202" s="18"/>
      <c r="D202" s="19"/>
    </row>
    <row r="203" spans="1:4" ht="14.25" customHeight="1" x14ac:dyDescent="0.35">
      <c r="A203" s="18"/>
      <c r="D203" s="19"/>
    </row>
    <row r="204" spans="1:4" ht="14.25" customHeight="1" x14ac:dyDescent="0.35">
      <c r="A204" s="18"/>
      <c r="D204" s="19"/>
    </row>
    <row r="205" spans="1:4" ht="14.25" customHeight="1" x14ac:dyDescent="0.35">
      <c r="A205" s="18"/>
      <c r="D205" s="19"/>
    </row>
    <row r="206" spans="1:4" ht="14.25" customHeight="1" x14ac:dyDescent="0.35">
      <c r="A206" s="18"/>
      <c r="D206" s="19"/>
    </row>
    <row r="207" spans="1:4" ht="14.25" customHeight="1" x14ac:dyDescent="0.35">
      <c r="A207" s="18"/>
      <c r="D207" s="19"/>
    </row>
    <row r="208" spans="1:4" ht="14.25" customHeight="1" x14ac:dyDescent="0.35">
      <c r="A208" s="18"/>
      <c r="D208" s="19"/>
    </row>
    <row r="209" spans="1:4" ht="14.25" customHeight="1" x14ac:dyDescent="0.35">
      <c r="A209" s="18"/>
      <c r="D209" s="19"/>
    </row>
    <row r="210" spans="1:4" ht="14.25" customHeight="1" x14ac:dyDescent="0.35">
      <c r="A210" s="18"/>
      <c r="D210" s="19"/>
    </row>
    <row r="211" spans="1:4" ht="14.25" customHeight="1" x14ac:dyDescent="0.35">
      <c r="A211" s="18"/>
      <c r="D211" s="19"/>
    </row>
    <row r="212" spans="1:4" ht="14.25" customHeight="1" x14ac:dyDescent="0.35">
      <c r="A212" s="18"/>
      <c r="D212" s="19"/>
    </row>
    <row r="213" spans="1:4" ht="14.25" customHeight="1" x14ac:dyDescent="0.35">
      <c r="A213" s="18"/>
      <c r="D213" s="19"/>
    </row>
    <row r="214" spans="1:4" ht="14.25" customHeight="1" x14ac:dyDescent="0.35">
      <c r="A214" s="18"/>
      <c r="D214" s="19"/>
    </row>
    <row r="215" spans="1:4" ht="14.25" customHeight="1" x14ac:dyDescent="0.35">
      <c r="A215" s="18"/>
      <c r="D215" s="19"/>
    </row>
    <row r="216" spans="1:4" ht="14.25" customHeight="1" x14ac:dyDescent="0.35">
      <c r="A216" s="18"/>
      <c r="D216" s="19"/>
    </row>
    <row r="217" spans="1:4" ht="14.25" customHeight="1" x14ac:dyDescent="0.35">
      <c r="A217" s="18"/>
      <c r="D217" s="19"/>
    </row>
    <row r="218" spans="1:4" ht="14.25" customHeight="1" x14ac:dyDescent="0.35">
      <c r="A218" s="18"/>
      <c r="D218" s="19"/>
    </row>
    <row r="219" spans="1:4" ht="14.25" customHeight="1" x14ac:dyDescent="0.35">
      <c r="A219" s="18"/>
      <c r="D219" s="19"/>
    </row>
    <row r="220" spans="1:4" ht="14.25" customHeight="1" x14ac:dyDescent="0.35">
      <c r="A220" s="18"/>
      <c r="D220" s="19"/>
    </row>
    <row r="221" spans="1:4" ht="14.25" customHeight="1" x14ac:dyDescent="0.35">
      <c r="A221" s="18"/>
      <c r="D221" s="19"/>
    </row>
    <row r="222" spans="1:4" ht="14.25" customHeight="1" x14ac:dyDescent="0.35">
      <c r="A222" s="18"/>
      <c r="D222" s="19"/>
    </row>
    <row r="223" spans="1:4" ht="14.25" customHeight="1" x14ac:dyDescent="0.35">
      <c r="A223" s="18"/>
      <c r="D223" s="19"/>
    </row>
    <row r="224" spans="1:4" ht="14.25" customHeight="1" x14ac:dyDescent="0.35">
      <c r="A224" s="18"/>
      <c r="D224" s="19"/>
    </row>
    <row r="225" spans="1:4" ht="14.25" customHeight="1" x14ac:dyDescent="0.35">
      <c r="A225" s="18"/>
      <c r="D225" s="19"/>
    </row>
    <row r="226" spans="1:4" ht="14.25" customHeight="1" x14ac:dyDescent="0.35">
      <c r="A226" s="18"/>
      <c r="D226" s="19"/>
    </row>
    <row r="227" spans="1:4" ht="14.25" customHeight="1" x14ac:dyDescent="0.35">
      <c r="A227" s="18"/>
      <c r="D227" s="19"/>
    </row>
    <row r="228" spans="1:4" ht="14.25" customHeight="1" x14ac:dyDescent="0.35">
      <c r="A228" s="18"/>
      <c r="D228" s="19"/>
    </row>
    <row r="229" spans="1:4" ht="14.25" customHeight="1" x14ac:dyDescent="0.35">
      <c r="A229" s="18"/>
      <c r="D229" s="19"/>
    </row>
    <row r="230" spans="1:4" ht="14.25" customHeight="1" x14ac:dyDescent="0.35">
      <c r="A230" s="18"/>
      <c r="D230" s="19"/>
    </row>
    <row r="231" spans="1:4" ht="14.25" customHeight="1" x14ac:dyDescent="0.35">
      <c r="A231" s="18"/>
      <c r="D231" s="19"/>
    </row>
    <row r="232" spans="1:4" ht="14.25" customHeight="1" x14ac:dyDescent="0.35">
      <c r="A232" s="18"/>
      <c r="D232" s="19"/>
    </row>
    <row r="233" spans="1:4" ht="14.25" customHeight="1" x14ac:dyDescent="0.35">
      <c r="A233" s="18"/>
      <c r="D233" s="19"/>
    </row>
    <row r="234" spans="1:4" ht="14.25" customHeight="1" x14ac:dyDescent="0.35">
      <c r="A234" s="18"/>
      <c r="D234" s="19"/>
    </row>
    <row r="235" spans="1:4" ht="14.25" customHeight="1" x14ac:dyDescent="0.35">
      <c r="A235" s="18"/>
      <c r="D235" s="19"/>
    </row>
    <row r="236" spans="1:4" ht="14.25" customHeight="1" x14ac:dyDescent="0.35">
      <c r="A236" s="18"/>
      <c r="D236" s="19"/>
    </row>
    <row r="237" spans="1:4" ht="14.25" customHeight="1" x14ac:dyDescent="0.35">
      <c r="A237" s="18"/>
      <c r="D237" s="19"/>
    </row>
    <row r="238" spans="1:4" ht="14.25" customHeight="1" x14ac:dyDescent="0.35">
      <c r="A238" s="18"/>
      <c r="D238" s="19"/>
    </row>
    <row r="239" spans="1:4" ht="14.25" customHeight="1" x14ac:dyDescent="0.35">
      <c r="A239" s="18"/>
      <c r="D239" s="19"/>
    </row>
    <row r="240" spans="1:4" ht="14.25" customHeight="1" x14ac:dyDescent="0.35">
      <c r="A240" s="18"/>
      <c r="D240" s="19"/>
    </row>
    <row r="241" spans="1:4" ht="14.25" customHeight="1" x14ac:dyDescent="0.35">
      <c r="A241" s="18"/>
      <c r="D241" s="19"/>
    </row>
    <row r="242" spans="1:4" ht="14.25" customHeight="1" x14ac:dyDescent="0.35">
      <c r="A242" s="18"/>
      <c r="D242" s="19"/>
    </row>
    <row r="243" spans="1:4" ht="14.25" customHeight="1" x14ac:dyDescent="0.35">
      <c r="A243" s="18"/>
      <c r="D243" s="19"/>
    </row>
    <row r="244" spans="1:4" ht="14.25" customHeight="1" x14ac:dyDescent="0.35">
      <c r="A244" s="18"/>
      <c r="D244" s="19"/>
    </row>
    <row r="245" spans="1:4" ht="14.25" customHeight="1" x14ac:dyDescent="0.35">
      <c r="A245" s="18"/>
      <c r="D245" s="19"/>
    </row>
    <row r="246" spans="1:4" ht="14.25" customHeight="1" x14ac:dyDescent="0.35">
      <c r="A246" s="18"/>
      <c r="D246" s="19"/>
    </row>
    <row r="247" spans="1:4" ht="14.25" customHeight="1" x14ac:dyDescent="0.35">
      <c r="A247" s="18"/>
      <c r="D247" s="19"/>
    </row>
    <row r="248" spans="1:4" ht="14.25" customHeight="1" x14ac:dyDescent="0.35">
      <c r="A248" s="18"/>
      <c r="D248" s="19"/>
    </row>
    <row r="249" spans="1:4" ht="14.25" customHeight="1" x14ac:dyDescent="0.35">
      <c r="A249" s="18"/>
      <c r="D249" s="19"/>
    </row>
    <row r="250" spans="1:4" ht="14.25" customHeight="1" x14ac:dyDescent="0.35">
      <c r="A250" s="18"/>
      <c r="D250" s="19"/>
    </row>
    <row r="251" spans="1:4" ht="14.25" customHeight="1" x14ac:dyDescent="0.35">
      <c r="A251" s="18"/>
      <c r="D251" s="19"/>
    </row>
    <row r="252" spans="1:4" ht="14.25" customHeight="1" x14ac:dyDescent="0.35">
      <c r="A252" s="18"/>
      <c r="D252" s="19"/>
    </row>
    <row r="253" spans="1:4" ht="14.25" customHeight="1" x14ac:dyDescent="0.35">
      <c r="A253" s="18"/>
      <c r="D253" s="19"/>
    </row>
    <row r="254" spans="1:4" ht="14.25" customHeight="1" x14ac:dyDescent="0.35">
      <c r="A254" s="18"/>
      <c r="D254" s="19"/>
    </row>
    <row r="255" spans="1:4" ht="14.25" customHeight="1" x14ac:dyDescent="0.35">
      <c r="A255" s="18"/>
      <c r="D255" s="19"/>
    </row>
    <row r="256" spans="1:4" ht="14.25" customHeight="1" x14ac:dyDescent="0.35">
      <c r="A256" s="18"/>
      <c r="D256" s="19"/>
    </row>
    <row r="257" spans="1:4" ht="14.25" customHeight="1" x14ac:dyDescent="0.35">
      <c r="A257" s="18"/>
      <c r="D257" s="19"/>
    </row>
    <row r="258" spans="1:4" ht="14.25" customHeight="1" x14ac:dyDescent="0.35">
      <c r="A258" s="18"/>
      <c r="D258" s="19"/>
    </row>
    <row r="259" spans="1:4" ht="14.25" customHeight="1" x14ac:dyDescent="0.35">
      <c r="A259" s="18"/>
      <c r="D259" s="19"/>
    </row>
    <row r="260" spans="1:4" ht="14.25" customHeight="1" x14ac:dyDescent="0.35">
      <c r="A260" s="18"/>
      <c r="D260" s="19"/>
    </row>
    <row r="261" spans="1:4" ht="14.25" customHeight="1" x14ac:dyDescent="0.35">
      <c r="A261" s="18"/>
      <c r="D261" s="19"/>
    </row>
    <row r="262" spans="1:4" ht="14.25" customHeight="1" x14ac:dyDescent="0.35">
      <c r="A262" s="18"/>
      <c r="D262" s="19"/>
    </row>
    <row r="263" spans="1:4" ht="14.25" customHeight="1" x14ac:dyDescent="0.35">
      <c r="A263" s="18"/>
      <c r="D263" s="19"/>
    </row>
    <row r="264" spans="1:4" ht="14.25" customHeight="1" x14ac:dyDescent="0.35">
      <c r="A264" s="18"/>
      <c r="D264" s="19"/>
    </row>
    <row r="265" spans="1:4" ht="14.25" customHeight="1" x14ac:dyDescent="0.35">
      <c r="A265" s="18"/>
      <c r="D265" s="19"/>
    </row>
    <row r="266" spans="1:4" ht="14.25" customHeight="1" x14ac:dyDescent="0.35">
      <c r="A266" s="18"/>
      <c r="D266" s="19"/>
    </row>
    <row r="267" spans="1:4" ht="14.25" customHeight="1" x14ac:dyDescent="0.35">
      <c r="A267" s="18"/>
      <c r="D267" s="19"/>
    </row>
    <row r="268" spans="1:4" ht="14.25" customHeight="1" x14ac:dyDescent="0.35">
      <c r="A268" s="18"/>
      <c r="D268" s="19"/>
    </row>
    <row r="269" spans="1:4" ht="14.25" customHeight="1" x14ac:dyDescent="0.35">
      <c r="A269" s="18"/>
      <c r="D269" s="19"/>
    </row>
    <row r="270" spans="1:4" ht="14.25" customHeight="1" x14ac:dyDescent="0.35">
      <c r="A270" s="18"/>
      <c r="D270" s="19"/>
    </row>
    <row r="271" spans="1:4" ht="14.25" customHeight="1" x14ac:dyDescent="0.35">
      <c r="A271" s="18"/>
      <c r="D271" s="19"/>
    </row>
    <row r="272" spans="1:4" ht="14.25" customHeight="1" x14ac:dyDescent="0.35">
      <c r="A272" s="18"/>
      <c r="D272" s="19"/>
    </row>
    <row r="273" spans="1:4" ht="14.25" customHeight="1" x14ac:dyDescent="0.35">
      <c r="A273" s="18"/>
      <c r="D273" s="19"/>
    </row>
    <row r="274" spans="1:4" ht="14.25" customHeight="1" x14ac:dyDescent="0.35">
      <c r="A274" s="18"/>
      <c r="D274" s="19"/>
    </row>
    <row r="275" spans="1:4" ht="14.25" customHeight="1" x14ac:dyDescent="0.35">
      <c r="A275" s="18"/>
      <c r="D275" s="19"/>
    </row>
    <row r="276" spans="1:4" ht="14.25" customHeight="1" x14ac:dyDescent="0.35">
      <c r="A276" s="18"/>
      <c r="D276" s="19"/>
    </row>
    <row r="277" spans="1:4" ht="14.25" customHeight="1" x14ac:dyDescent="0.35">
      <c r="A277" s="18"/>
      <c r="D277" s="19"/>
    </row>
    <row r="278" spans="1:4" ht="14.25" customHeight="1" x14ac:dyDescent="0.35">
      <c r="A278" s="18"/>
      <c r="D278" s="19"/>
    </row>
    <row r="279" spans="1:4" ht="14.25" customHeight="1" x14ac:dyDescent="0.35">
      <c r="A279" s="18"/>
      <c r="D279" s="19"/>
    </row>
    <row r="280" spans="1:4" ht="14.25" customHeight="1" x14ac:dyDescent="0.35">
      <c r="A280" s="18"/>
      <c r="D280" s="19"/>
    </row>
    <row r="281" spans="1:4" ht="14.25" customHeight="1" x14ac:dyDescent="0.35">
      <c r="A281" s="18"/>
      <c r="D281" s="19"/>
    </row>
    <row r="282" spans="1:4" ht="14.25" customHeight="1" x14ac:dyDescent="0.35">
      <c r="A282" s="18"/>
      <c r="D282" s="19"/>
    </row>
    <row r="283" spans="1:4" ht="14.25" customHeight="1" x14ac:dyDescent="0.35">
      <c r="A283" s="18"/>
      <c r="D283" s="19"/>
    </row>
    <row r="284" spans="1:4" ht="14.25" customHeight="1" x14ac:dyDescent="0.35">
      <c r="A284" s="18"/>
      <c r="D284" s="19"/>
    </row>
    <row r="285" spans="1:4" ht="14.25" customHeight="1" x14ac:dyDescent="0.35">
      <c r="A285" s="18"/>
      <c r="D285" s="19"/>
    </row>
    <row r="286" spans="1:4" ht="14.25" customHeight="1" x14ac:dyDescent="0.35">
      <c r="A286" s="18"/>
      <c r="D286" s="19"/>
    </row>
    <row r="287" spans="1:4" ht="14.25" customHeight="1" x14ac:dyDescent="0.35">
      <c r="A287" s="18"/>
      <c r="D287" s="19"/>
    </row>
    <row r="288" spans="1:4" ht="14.25" customHeight="1" x14ac:dyDescent="0.35">
      <c r="A288" s="18"/>
      <c r="D288" s="19"/>
    </row>
    <row r="289" spans="1:4" ht="14.25" customHeight="1" x14ac:dyDescent="0.35">
      <c r="A289" s="18"/>
      <c r="D289" s="19"/>
    </row>
    <row r="290" spans="1:4" ht="14.25" customHeight="1" x14ac:dyDescent="0.35">
      <c r="A290" s="18"/>
      <c r="D290" s="19"/>
    </row>
    <row r="291" spans="1:4" ht="14.25" customHeight="1" x14ac:dyDescent="0.35">
      <c r="A291" s="18"/>
      <c r="D291" s="19"/>
    </row>
    <row r="292" spans="1:4" ht="14.25" customHeight="1" x14ac:dyDescent="0.35">
      <c r="A292" s="18"/>
      <c r="D292" s="19"/>
    </row>
    <row r="293" spans="1:4" ht="14.25" customHeight="1" x14ac:dyDescent="0.35">
      <c r="A293" s="18"/>
      <c r="D293" s="19"/>
    </row>
    <row r="294" spans="1:4" ht="14.25" customHeight="1" x14ac:dyDescent="0.35">
      <c r="A294" s="18"/>
      <c r="D294" s="19"/>
    </row>
    <row r="295" spans="1:4" ht="14.25" customHeight="1" x14ac:dyDescent="0.35">
      <c r="A295" s="18"/>
      <c r="D295" s="19"/>
    </row>
    <row r="296" spans="1:4" ht="14.25" customHeight="1" x14ac:dyDescent="0.35">
      <c r="A296" s="18"/>
      <c r="D296" s="19"/>
    </row>
    <row r="297" spans="1:4" ht="14.25" customHeight="1" x14ac:dyDescent="0.35">
      <c r="A297" s="18"/>
      <c r="D297" s="19"/>
    </row>
    <row r="298" spans="1:4" ht="14.25" customHeight="1" x14ac:dyDescent="0.35">
      <c r="A298" s="18"/>
      <c r="D298" s="19"/>
    </row>
    <row r="299" spans="1:4" ht="14.25" customHeight="1" x14ac:dyDescent="0.35">
      <c r="A299" s="18"/>
      <c r="D299" s="19"/>
    </row>
    <row r="300" spans="1:4" ht="14.25" customHeight="1" x14ac:dyDescent="0.35">
      <c r="A300" s="18"/>
      <c r="D300" s="19"/>
    </row>
    <row r="301" spans="1:4" ht="14.25" customHeight="1" x14ac:dyDescent="0.35">
      <c r="A301" s="18"/>
      <c r="D301" s="19"/>
    </row>
    <row r="302" spans="1:4" ht="14.25" customHeight="1" x14ac:dyDescent="0.35">
      <c r="A302" s="18"/>
      <c r="D302" s="19"/>
    </row>
    <row r="303" spans="1:4" ht="14.25" customHeight="1" x14ac:dyDescent="0.35">
      <c r="A303" s="18"/>
      <c r="D303" s="19"/>
    </row>
    <row r="304" spans="1:4" ht="14.25" customHeight="1" x14ac:dyDescent="0.35">
      <c r="A304" s="18"/>
      <c r="D304" s="19"/>
    </row>
    <row r="305" spans="1:4" ht="14.25" customHeight="1" x14ac:dyDescent="0.35">
      <c r="A305" s="18"/>
      <c r="D305" s="19"/>
    </row>
    <row r="306" spans="1:4" ht="14.25" customHeight="1" x14ac:dyDescent="0.35">
      <c r="A306" s="18"/>
      <c r="D306" s="19"/>
    </row>
    <row r="307" spans="1:4" ht="14.25" customHeight="1" x14ac:dyDescent="0.35">
      <c r="A307" s="18"/>
      <c r="D307" s="19"/>
    </row>
    <row r="308" spans="1:4" ht="14.25" customHeight="1" x14ac:dyDescent="0.35">
      <c r="A308" s="18"/>
      <c r="D308" s="19"/>
    </row>
    <row r="309" spans="1:4" ht="14.25" customHeight="1" x14ac:dyDescent="0.35">
      <c r="A309" s="18"/>
      <c r="D309" s="19"/>
    </row>
    <row r="310" spans="1:4" ht="14.25" customHeight="1" x14ac:dyDescent="0.35">
      <c r="A310" s="18"/>
      <c r="D310" s="19"/>
    </row>
    <row r="311" spans="1:4" ht="14.25" customHeight="1" x14ac:dyDescent="0.35">
      <c r="A311" s="18"/>
      <c r="D311" s="19"/>
    </row>
    <row r="312" spans="1:4" ht="14.25" customHeight="1" x14ac:dyDescent="0.35">
      <c r="A312" s="18"/>
      <c r="D312" s="19"/>
    </row>
    <row r="313" spans="1:4" ht="14.25" customHeight="1" x14ac:dyDescent="0.35">
      <c r="A313" s="18"/>
      <c r="D313" s="19"/>
    </row>
    <row r="314" spans="1:4" ht="14.25" customHeight="1" x14ac:dyDescent="0.35">
      <c r="A314" s="18"/>
      <c r="D314" s="19"/>
    </row>
    <row r="315" spans="1:4" ht="14.25" customHeight="1" x14ac:dyDescent="0.35">
      <c r="A315" s="18"/>
      <c r="D315" s="19"/>
    </row>
    <row r="316" spans="1:4" ht="14.25" customHeight="1" x14ac:dyDescent="0.35">
      <c r="A316" s="18"/>
      <c r="D316" s="19"/>
    </row>
    <row r="317" spans="1:4" ht="14.25" customHeight="1" x14ac:dyDescent="0.35">
      <c r="A317" s="18"/>
      <c r="D317" s="19"/>
    </row>
    <row r="318" spans="1:4" ht="14.25" customHeight="1" x14ac:dyDescent="0.35">
      <c r="A318" s="18"/>
      <c r="D318" s="19"/>
    </row>
    <row r="319" spans="1:4" ht="14.25" customHeight="1" x14ac:dyDescent="0.35">
      <c r="A319" s="18"/>
      <c r="D319" s="19"/>
    </row>
    <row r="320" spans="1:4" ht="14.25" customHeight="1" x14ac:dyDescent="0.35">
      <c r="A320" s="18"/>
      <c r="D320" s="19"/>
    </row>
    <row r="321" spans="1:4" ht="14.25" customHeight="1" x14ac:dyDescent="0.35">
      <c r="A321" s="18"/>
      <c r="D321" s="19"/>
    </row>
    <row r="322" spans="1:4" ht="14.25" customHeight="1" x14ac:dyDescent="0.35">
      <c r="A322" s="18"/>
      <c r="D322" s="19"/>
    </row>
    <row r="323" spans="1:4" ht="14.25" customHeight="1" x14ac:dyDescent="0.35">
      <c r="A323" s="18"/>
      <c r="D323" s="19"/>
    </row>
    <row r="324" spans="1:4" ht="14.25" customHeight="1" x14ac:dyDescent="0.35">
      <c r="A324" s="18"/>
      <c r="D324" s="19"/>
    </row>
    <row r="325" spans="1:4" ht="14.25" customHeight="1" x14ac:dyDescent="0.35">
      <c r="A325" s="18"/>
      <c r="D325" s="19"/>
    </row>
    <row r="326" spans="1:4" ht="14.25" customHeight="1" x14ac:dyDescent="0.35">
      <c r="A326" s="18"/>
      <c r="D326" s="19"/>
    </row>
    <row r="327" spans="1:4" ht="14.25" customHeight="1" x14ac:dyDescent="0.35">
      <c r="A327" s="18"/>
      <c r="D327" s="19"/>
    </row>
    <row r="328" spans="1:4" ht="14.25" customHeight="1" x14ac:dyDescent="0.35">
      <c r="A328" s="18"/>
      <c r="D328" s="19"/>
    </row>
    <row r="329" spans="1:4" ht="14.25" customHeight="1" x14ac:dyDescent="0.35">
      <c r="A329" s="18"/>
      <c r="D329" s="19"/>
    </row>
    <row r="330" spans="1:4" ht="14.25" customHeight="1" x14ac:dyDescent="0.35">
      <c r="A330" s="18"/>
      <c r="D330" s="19"/>
    </row>
    <row r="331" spans="1:4" ht="14.25" customHeight="1" x14ac:dyDescent="0.35">
      <c r="A331" s="18"/>
      <c r="D331" s="19"/>
    </row>
    <row r="332" spans="1:4" ht="14.25" customHeight="1" x14ac:dyDescent="0.35">
      <c r="A332" s="18"/>
      <c r="D332" s="19"/>
    </row>
    <row r="333" spans="1:4" ht="14.25" customHeight="1" x14ac:dyDescent="0.35">
      <c r="A333" s="18"/>
      <c r="D333" s="19"/>
    </row>
    <row r="334" spans="1:4" ht="14.25" customHeight="1" x14ac:dyDescent="0.35">
      <c r="A334" s="18"/>
      <c r="D334" s="19"/>
    </row>
    <row r="335" spans="1:4" ht="14.25" customHeight="1" x14ac:dyDescent="0.35">
      <c r="A335" s="18"/>
      <c r="D335" s="19"/>
    </row>
    <row r="336" spans="1:4" ht="14.25" customHeight="1" x14ac:dyDescent="0.35">
      <c r="A336" s="18"/>
      <c r="D336" s="19"/>
    </row>
    <row r="337" spans="1:4" ht="14.25" customHeight="1" x14ac:dyDescent="0.35">
      <c r="A337" s="18"/>
      <c r="D337" s="19"/>
    </row>
    <row r="338" spans="1:4" ht="14.25" customHeight="1" x14ac:dyDescent="0.35">
      <c r="A338" s="18"/>
      <c r="D338" s="19"/>
    </row>
    <row r="339" spans="1:4" ht="14.25" customHeight="1" x14ac:dyDescent="0.35">
      <c r="A339" s="18"/>
      <c r="D339" s="19"/>
    </row>
    <row r="340" spans="1:4" ht="14.25" customHeight="1" x14ac:dyDescent="0.35">
      <c r="A340" s="18"/>
      <c r="D340" s="19"/>
    </row>
    <row r="341" spans="1:4" ht="14.25" customHeight="1" x14ac:dyDescent="0.35">
      <c r="A341" s="18"/>
      <c r="D341" s="19"/>
    </row>
    <row r="342" spans="1:4" ht="14.25" customHeight="1" x14ac:dyDescent="0.35">
      <c r="A342" s="18"/>
      <c r="D342" s="19"/>
    </row>
    <row r="343" spans="1:4" ht="14.25" customHeight="1" x14ac:dyDescent="0.35">
      <c r="A343" s="18"/>
      <c r="D343" s="19"/>
    </row>
    <row r="344" spans="1:4" ht="14.25" customHeight="1" x14ac:dyDescent="0.35">
      <c r="A344" s="18"/>
      <c r="D344" s="19"/>
    </row>
    <row r="345" spans="1:4" ht="14.25" customHeight="1" x14ac:dyDescent="0.35">
      <c r="A345" s="18"/>
      <c r="D345" s="19"/>
    </row>
    <row r="346" spans="1:4" ht="14.25" customHeight="1" x14ac:dyDescent="0.35">
      <c r="A346" s="18"/>
      <c r="D346" s="19"/>
    </row>
    <row r="347" spans="1:4" ht="14.25" customHeight="1" x14ac:dyDescent="0.35">
      <c r="A347" s="18"/>
      <c r="D347" s="19"/>
    </row>
    <row r="348" spans="1:4" ht="14.25" customHeight="1" x14ac:dyDescent="0.35">
      <c r="A348" s="18"/>
      <c r="D348" s="19"/>
    </row>
    <row r="349" spans="1:4" ht="14.25" customHeight="1" x14ac:dyDescent="0.35">
      <c r="A349" s="18"/>
      <c r="D349" s="19"/>
    </row>
    <row r="350" spans="1:4" ht="14.25" customHeight="1" x14ac:dyDescent="0.35">
      <c r="A350" s="18"/>
      <c r="D350" s="19"/>
    </row>
    <row r="351" spans="1:4" ht="14.25" customHeight="1" x14ac:dyDescent="0.35">
      <c r="A351" s="18"/>
      <c r="D351" s="19"/>
    </row>
    <row r="352" spans="1:4" ht="14.25" customHeight="1" x14ac:dyDescent="0.35">
      <c r="A352" s="18"/>
      <c r="D352" s="19"/>
    </row>
    <row r="353" spans="1:4" ht="14.25" customHeight="1" x14ac:dyDescent="0.35">
      <c r="A353" s="18"/>
      <c r="D353" s="19"/>
    </row>
    <row r="354" spans="1:4" ht="14.25" customHeight="1" x14ac:dyDescent="0.35">
      <c r="A354" s="18"/>
      <c r="D354" s="19"/>
    </row>
    <row r="355" spans="1:4" ht="14.25" customHeight="1" x14ac:dyDescent="0.35">
      <c r="A355" s="18"/>
      <c r="D355" s="19"/>
    </row>
    <row r="356" spans="1:4" ht="14.25" customHeight="1" x14ac:dyDescent="0.35">
      <c r="A356" s="18"/>
      <c r="D356" s="19"/>
    </row>
    <row r="357" spans="1:4" ht="14.25" customHeight="1" x14ac:dyDescent="0.35">
      <c r="A357" s="18"/>
      <c r="D357" s="19"/>
    </row>
    <row r="358" spans="1:4" ht="14.25" customHeight="1" x14ac:dyDescent="0.35">
      <c r="A358" s="18"/>
      <c r="D358" s="19"/>
    </row>
    <row r="359" spans="1:4" ht="14.25" customHeight="1" x14ac:dyDescent="0.35">
      <c r="A359" s="18"/>
      <c r="D359" s="19"/>
    </row>
    <row r="360" spans="1:4" ht="14.25" customHeight="1" x14ac:dyDescent="0.35">
      <c r="A360" s="18"/>
      <c r="D360" s="19"/>
    </row>
    <row r="361" spans="1:4" ht="14.25" customHeight="1" x14ac:dyDescent="0.35">
      <c r="A361" s="18"/>
      <c r="D361" s="19"/>
    </row>
    <row r="362" spans="1:4" ht="14.25" customHeight="1" x14ac:dyDescent="0.35">
      <c r="A362" s="18"/>
      <c r="D362" s="19"/>
    </row>
    <row r="363" spans="1:4" ht="14.25" customHeight="1" x14ac:dyDescent="0.35">
      <c r="A363" s="18"/>
      <c r="D363" s="19"/>
    </row>
    <row r="364" spans="1:4" ht="14.25" customHeight="1" x14ac:dyDescent="0.35">
      <c r="A364" s="18"/>
      <c r="D364" s="19"/>
    </row>
    <row r="365" spans="1:4" ht="14.25" customHeight="1" x14ac:dyDescent="0.35">
      <c r="A365" s="18"/>
      <c r="D365" s="19"/>
    </row>
    <row r="366" spans="1:4" ht="14.25" customHeight="1" x14ac:dyDescent="0.35">
      <c r="A366" s="18"/>
      <c r="D366" s="19"/>
    </row>
    <row r="367" spans="1:4" ht="14.25" customHeight="1" x14ac:dyDescent="0.35">
      <c r="A367" s="18"/>
      <c r="D367" s="19"/>
    </row>
    <row r="368" spans="1:4" ht="14.25" customHeight="1" x14ac:dyDescent="0.35">
      <c r="A368" s="18"/>
      <c r="D368" s="19"/>
    </row>
    <row r="369" spans="1:4" ht="14.25" customHeight="1" x14ac:dyDescent="0.35">
      <c r="A369" s="18"/>
      <c r="D369" s="19"/>
    </row>
    <row r="370" spans="1:4" ht="14.25" customHeight="1" x14ac:dyDescent="0.35">
      <c r="A370" s="18"/>
      <c r="D370" s="19"/>
    </row>
    <row r="371" spans="1:4" ht="14.25" customHeight="1" x14ac:dyDescent="0.35">
      <c r="A371" s="18"/>
      <c r="D371" s="19"/>
    </row>
    <row r="372" spans="1:4" ht="14.25" customHeight="1" x14ac:dyDescent="0.35">
      <c r="A372" s="18"/>
      <c r="D372" s="19"/>
    </row>
    <row r="373" spans="1:4" ht="14.25" customHeight="1" x14ac:dyDescent="0.35">
      <c r="A373" s="18"/>
      <c r="D373" s="19"/>
    </row>
    <row r="374" spans="1:4" ht="14.25" customHeight="1" x14ac:dyDescent="0.35">
      <c r="A374" s="18"/>
      <c r="D374" s="19"/>
    </row>
    <row r="375" spans="1:4" ht="14.25" customHeight="1" x14ac:dyDescent="0.35">
      <c r="A375" s="18"/>
      <c r="D375" s="19"/>
    </row>
    <row r="376" spans="1:4" ht="14.25" customHeight="1" x14ac:dyDescent="0.35">
      <c r="A376" s="18"/>
      <c r="D376" s="19"/>
    </row>
    <row r="377" spans="1:4" ht="14.25" customHeight="1" x14ac:dyDescent="0.35">
      <c r="A377" s="18"/>
      <c r="D377" s="19"/>
    </row>
    <row r="378" spans="1:4" ht="14.25" customHeight="1" x14ac:dyDescent="0.35">
      <c r="A378" s="18"/>
      <c r="D378" s="19"/>
    </row>
    <row r="379" spans="1:4" ht="14.25" customHeight="1" x14ac:dyDescent="0.35">
      <c r="A379" s="18"/>
      <c r="D379" s="19"/>
    </row>
    <row r="380" spans="1:4" ht="14.25" customHeight="1" x14ac:dyDescent="0.35">
      <c r="A380" s="18"/>
      <c r="D380" s="19"/>
    </row>
    <row r="381" spans="1:4" ht="14.25" customHeight="1" x14ac:dyDescent="0.35">
      <c r="A381" s="18"/>
      <c r="D381" s="19"/>
    </row>
    <row r="382" spans="1:4" ht="14.25" customHeight="1" x14ac:dyDescent="0.35">
      <c r="A382" s="18"/>
      <c r="D382" s="19"/>
    </row>
    <row r="383" spans="1:4" ht="14.25" customHeight="1" x14ac:dyDescent="0.35">
      <c r="A383" s="18"/>
      <c r="D383" s="19"/>
    </row>
    <row r="384" spans="1:4" ht="14.25" customHeight="1" x14ac:dyDescent="0.35">
      <c r="A384" s="18"/>
      <c r="D384" s="19"/>
    </row>
    <row r="385" spans="1:4" ht="14.25" customHeight="1" x14ac:dyDescent="0.35">
      <c r="A385" s="18"/>
      <c r="D385" s="19"/>
    </row>
    <row r="386" spans="1:4" ht="14.25" customHeight="1" x14ac:dyDescent="0.35">
      <c r="A386" s="18"/>
      <c r="D386" s="19"/>
    </row>
    <row r="387" spans="1:4" ht="14.25" customHeight="1" x14ac:dyDescent="0.35">
      <c r="A387" s="18"/>
      <c r="D387" s="19"/>
    </row>
    <row r="388" spans="1:4" ht="14.25" customHeight="1" x14ac:dyDescent="0.35">
      <c r="A388" s="18"/>
      <c r="D388" s="19"/>
    </row>
    <row r="389" spans="1:4" ht="14.25" customHeight="1" x14ac:dyDescent="0.35">
      <c r="A389" s="18"/>
      <c r="D389" s="19"/>
    </row>
    <row r="390" spans="1:4" ht="14.25" customHeight="1" x14ac:dyDescent="0.35">
      <c r="A390" s="18"/>
      <c r="D390" s="19"/>
    </row>
    <row r="391" spans="1:4" ht="14.25" customHeight="1" x14ac:dyDescent="0.35">
      <c r="A391" s="18"/>
      <c r="D391" s="19"/>
    </row>
    <row r="392" spans="1:4" ht="14.25" customHeight="1" x14ac:dyDescent="0.35">
      <c r="A392" s="18"/>
      <c r="D392" s="19"/>
    </row>
    <row r="393" spans="1:4" ht="14.25" customHeight="1" x14ac:dyDescent="0.35">
      <c r="A393" s="18"/>
      <c r="D393" s="19"/>
    </row>
    <row r="394" spans="1:4" ht="14.25" customHeight="1" x14ac:dyDescent="0.35">
      <c r="A394" s="18"/>
      <c r="D394" s="19"/>
    </row>
    <row r="395" spans="1:4" ht="14.25" customHeight="1" x14ac:dyDescent="0.35">
      <c r="A395" s="18"/>
      <c r="D395" s="19"/>
    </row>
    <row r="396" spans="1:4" ht="14.25" customHeight="1" x14ac:dyDescent="0.35">
      <c r="A396" s="18"/>
      <c r="D396" s="19"/>
    </row>
    <row r="397" spans="1:4" ht="14.25" customHeight="1" x14ac:dyDescent="0.35">
      <c r="A397" s="18"/>
      <c r="D397" s="19"/>
    </row>
    <row r="398" spans="1:4" ht="14.25" customHeight="1" x14ac:dyDescent="0.35">
      <c r="A398" s="18"/>
      <c r="D398" s="19"/>
    </row>
    <row r="399" spans="1:4" ht="14.25" customHeight="1" x14ac:dyDescent="0.35">
      <c r="A399" s="18"/>
      <c r="D399" s="19"/>
    </row>
    <row r="400" spans="1:4" ht="14.25" customHeight="1" x14ac:dyDescent="0.35">
      <c r="A400" s="18"/>
      <c r="D400" s="19"/>
    </row>
    <row r="401" spans="1:4" ht="14.25" customHeight="1" x14ac:dyDescent="0.35">
      <c r="A401" s="18"/>
      <c r="D401" s="19"/>
    </row>
    <row r="402" spans="1:4" ht="14.25" customHeight="1" x14ac:dyDescent="0.35">
      <c r="A402" s="18"/>
      <c r="D402" s="19"/>
    </row>
    <row r="403" spans="1:4" ht="14.25" customHeight="1" x14ac:dyDescent="0.35">
      <c r="A403" s="18"/>
      <c r="D403" s="19"/>
    </row>
    <row r="404" spans="1:4" ht="14.25" customHeight="1" x14ac:dyDescent="0.35">
      <c r="A404" s="18"/>
      <c r="D404" s="19"/>
    </row>
    <row r="405" spans="1:4" ht="14.25" customHeight="1" x14ac:dyDescent="0.35">
      <c r="A405" s="18"/>
      <c r="D405" s="19"/>
    </row>
    <row r="406" spans="1:4" ht="14.25" customHeight="1" x14ac:dyDescent="0.35">
      <c r="A406" s="18"/>
      <c r="D406" s="19"/>
    </row>
    <row r="407" spans="1:4" ht="14.25" customHeight="1" x14ac:dyDescent="0.35">
      <c r="A407" s="18"/>
      <c r="D407" s="19"/>
    </row>
    <row r="408" spans="1:4" ht="14.25" customHeight="1" x14ac:dyDescent="0.35">
      <c r="A408" s="18"/>
      <c r="D408" s="19"/>
    </row>
    <row r="409" spans="1:4" ht="14.25" customHeight="1" x14ac:dyDescent="0.35">
      <c r="A409" s="18"/>
      <c r="D409" s="19"/>
    </row>
    <row r="410" spans="1:4" ht="14.25" customHeight="1" x14ac:dyDescent="0.35">
      <c r="A410" s="18"/>
      <c r="D410" s="19"/>
    </row>
    <row r="411" spans="1:4" ht="14.25" customHeight="1" x14ac:dyDescent="0.35">
      <c r="A411" s="18"/>
      <c r="D411" s="19"/>
    </row>
    <row r="412" spans="1:4" ht="14.25" customHeight="1" x14ac:dyDescent="0.35">
      <c r="A412" s="18"/>
      <c r="D412" s="19"/>
    </row>
    <row r="413" spans="1:4" ht="14.25" customHeight="1" x14ac:dyDescent="0.35">
      <c r="A413" s="18"/>
      <c r="D413" s="19"/>
    </row>
    <row r="414" spans="1:4" ht="14.25" customHeight="1" x14ac:dyDescent="0.35">
      <c r="A414" s="18"/>
      <c r="D414" s="19"/>
    </row>
    <row r="415" spans="1:4" ht="14.25" customHeight="1" x14ac:dyDescent="0.35">
      <c r="A415" s="18"/>
      <c r="D415" s="19"/>
    </row>
    <row r="416" spans="1:4" ht="14.25" customHeight="1" x14ac:dyDescent="0.35">
      <c r="A416" s="18"/>
      <c r="D416" s="19"/>
    </row>
    <row r="417" spans="1:4" ht="14.25" customHeight="1" x14ac:dyDescent="0.35">
      <c r="A417" s="18"/>
      <c r="D417" s="19"/>
    </row>
    <row r="418" spans="1:4" ht="14.25" customHeight="1" x14ac:dyDescent="0.35">
      <c r="A418" s="18"/>
      <c r="D418" s="19"/>
    </row>
    <row r="419" spans="1:4" ht="14.25" customHeight="1" x14ac:dyDescent="0.35">
      <c r="A419" s="18"/>
      <c r="D419" s="19"/>
    </row>
    <row r="420" spans="1:4" ht="14.25" customHeight="1" x14ac:dyDescent="0.35">
      <c r="A420" s="18"/>
      <c r="D420" s="19"/>
    </row>
    <row r="421" spans="1:4" ht="14.25" customHeight="1" x14ac:dyDescent="0.35">
      <c r="A421" s="18"/>
      <c r="D421" s="19"/>
    </row>
    <row r="422" spans="1:4" ht="14.25" customHeight="1" x14ac:dyDescent="0.35">
      <c r="A422" s="18"/>
      <c r="D422" s="19"/>
    </row>
    <row r="423" spans="1:4" ht="14.25" customHeight="1" x14ac:dyDescent="0.35">
      <c r="A423" s="18"/>
      <c r="D423" s="19"/>
    </row>
    <row r="424" spans="1:4" ht="14.25" customHeight="1" x14ac:dyDescent="0.35">
      <c r="A424" s="18"/>
      <c r="D424" s="19"/>
    </row>
    <row r="425" spans="1:4" ht="14.25" customHeight="1" x14ac:dyDescent="0.35">
      <c r="A425" s="18"/>
      <c r="D425" s="19"/>
    </row>
    <row r="426" spans="1:4" ht="14.25" customHeight="1" x14ac:dyDescent="0.35">
      <c r="A426" s="18"/>
      <c r="D426" s="19"/>
    </row>
    <row r="427" spans="1:4" ht="14.25" customHeight="1" x14ac:dyDescent="0.35">
      <c r="A427" s="18"/>
      <c r="D427" s="19"/>
    </row>
    <row r="428" spans="1:4" ht="14.25" customHeight="1" x14ac:dyDescent="0.35">
      <c r="A428" s="18"/>
      <c r="D428" s="19"/>
    </row>
    <row r="429" spans="1:4" ht="14.25" customHeight="1" x14ac:dyDescent="0.35">
      <c r="A429" s="18"/>
      <c r="D429" s="19"/>
    </row>
    <row r="430" spans="1:4" ht="14.25" customHeight="1" x14ac:dyDescent="0.35">
      <c r="A430" s="18"/>
      <c r="D430" s="19"/>
    </row>
    <row r="431" spans="1:4" ht="14.25" customHeight="1" x14ac:dyDescent="0.35">
      <c r="A431" s="18"/>
      <c r="D431" s="19"/>
    </row>
    <row r="432" spans="1:4" ht="14.25" customHeight="1" x14ac:dyDescent="0.35">
      <c r="A432" s="18"/>
      <c r="D432" s="19"/>
    </row>
    <row r="433" spans="1:4" ht="14.25" customHeight="1" x14ac:dyDescent="0.35">
      <c r="A433" s="18"/>
      <c r="D433" s="19"/>
    </row>
    <row r="434" spans="1:4" ht="14.25" customHeight="1" x14ac:dyDescent="0.35">
      <c r="A434" s="18"/>
      <c r="D434" s="19"/>
    </row>
    <row r="435" spans="1:4" ht="14.25" customHeight="1" x14ac:dyDescent="0.35">
      <c r="A435" s="18"/>
      <c r="D435" s="19"/>
    </row>
    <row r="436" spans="1:4" ht="14.25" customHeight="1" x14ac:dyDescent="0.35">
      <c r="A436" s="18"/>
      <c r="D436" s="19"/>
    </row>
    <row r="437" spans="1:4" ht="14.25" customHeight="1" x14ac:dyDescent="0.35">
      <c r="A437" s="18"/>
      <c r="D437" s="19"/>
    </row>
    <row r="438" spans="1:4" ht="14.25" customHeight="1" x14ac:dyDescent="0.35">
      <c r="A438" s="18"/>
      <c r="D438" s="19"/>
    </row>
    <row r="439" spans="1:4" ht="14.25" customHeight="1" x14ac:dyDescent="0.35">
      <c r="A439" s="18"/>
      <c r="D439" s="19"/>
    </row>
    <row r="440" spans="1:4" ht="14.25" customHeight="1" x14ac:dyDescent="0.35">
      <c r="A440" s="18"/>
      <c r="D440" s="19"/>
    </row>
    <row r="441" spans="1:4" ht="14.25" customHeight="1" x14ac:dyDescent="0.35">
      <c r="A441" s="18"/>
      <c r="D441" s="19"/>
    </row>
    <row r="442" spans="1:4" ht="14.25" customHeight="1" x14ac:dyDescent="0.35">
      <c r="A442" s="18"/>
      <c r="D442" s="19"/>
    </row>
    <row r="443" spans="1:4" ht="14.25" customHeight="1" x14ac:dyDescent="0.35">
      <c r="A443" s="18"/>
      <c r="D443" s="19"/>
    </row>
    <row r="444" spans="1:4" ht="14.25" customHeight="1" x14ac:dyDescent="0.35">
      <c r="A444" s="18"/>
      <c r="D444" s="19"/>
    </row>
    <row r="445" spans="1:4" ht="14.25" customHeight="1" x14ac:dyDescent="0.35">
      <c r="A445" s="18"/>
      <c r="D445" s="19"/>
    </row>
    <row r="446" spans="1:4" ht="14.25" customHeight="1" x14ac:dyDescent="0.35">
      <c r="A446" s="18"/>
      <c r="D446" s="19"/>
    </row>
    <row r="447" spans="1:4" ht="14.25" customHeight="1" x14ac:dyDescent="0.35">
      <c r="A447" s="18"/>
      <c r="D447" s="19"/>
    </row>
    <row r="448" spans="1:4" ht="14.25" customHeight="1" x14ac:dyDescent="0.35">
      <c r="A448" s="18"/>
      <c r="D448" s="19"/>
    </row>
    <row r="449" spans="1:4" ht="14.25" customHeight="1" x14ac:dyDescent="0.35">
      <c r="A449" s="18"/>
      <c r="D449" s="19"/>
    </row>
    <row r="450" spans="1:4" ht="14.25" customHeight="1" x14ac:dyDescent="0.35">
      <c r="A450" s="18"/>
      <c r="D450" s="19"/>
    </row>
    <row r="451" spans="1:4" ht="14.25" customHeight="1" x14ac:dyDescent="0.35">
      <c r="A451" s="18"/>
      <c r="D451" s="19"/>
    </row>
    <row r="452" spans="1:4" ht="14.25" customHeight="1" x14ac:dyDescent="0.35">
      <c r="A452" s="18"/>
      <c r="D452" s="19"/>
    </row>
    <row r="453" spans="1:4" ht="14.25" customHeight="1" x14ac:dyDescent="0.35">
      <c r="A453" s="18"/>
      <c r="D453" s="19"/>
    </row>
    <row r="454" spans="1:4" ht="14.25" customHeight="1" x14ac:dyDescent="0.35">
      <c r="A454" s="18"/>
      <c r="D454" s="19"/>
    </row>
    <row r="455" spans="1:4" ht="14.25" customHeight="1" x14ac:dyDescent="0.35">
      <c r="A455" s="18"/>
      <c r="D455" s="19"/>
    </row>
    <row r="456" spans="1:4" ht="14.25" customHeight="1" x14ac:dyDescent="0.35">
      <c r="A456" s="18"/>
      <c r="D456" s="19"/>
    </row>
    <row r="457" spans="1:4" ht="14.25" customHeight="1" x14ac:dyDescent="0.35">
      <c r="A457" s="18"/>
      <c r="D457" s="19"/>
    </row>
    <row r="458" spans="1:4" ht="14.25" customHeight="1" x14ac:dyDescent="0.35">
      <c r="A458" s="18"/>
      <c r="D458" s="19"/>
    </row>
    <row r="459" spans="1:4" ht="14.25" customHeight="1" x14ac:dyDescent="0.35">
      <c r="A459" s="18"/>
      <c r="D459" s="19"/>
    </row>
    <row r="460" spans="1:4" ht="14.25" customHeight="1" x14ac:dyDescent="0.35">
      <c r="A460" s="18"/>
      <c r="D460" s="19"/>
    </row>
    <row r="461" spans="1:4" ht="14.25" customHeight="1" x14ac:dyDescent="0.35">
      <c r="A461" s="18"/>
      <c r="D461" s="19"/>
    </row>
    <row r="462" spans="1:4" ht="14.25" customHeight="1" x14ac:dyDescent="0.35">
      <c r="A462" s="18"/>
      <c r="D462" s="19"/>
    </row>
    <row r="463" spans="1:4" ht="14.25" customHeight="1" x14ac:dyDescent="0.35">
      <c r="A463" s="18"/>
      <c r="D463" s="19"/>
    </row>
    <row r="464" spans="1:4" ht="14.25" customHeight="1" x14ac:dyDescent="0.35">
      <c r="A464" s="18"/>
      <c r="D464" s="19"/>
    </row>
    <row r="465" spans="1:4" ht="14.25" customHeight="1" x14ac:dyDescent="0.35">
      <c r="A465" s="18"/>
      <c r="D465" s="19"/>
    </row>
    <row r="466" spans="1:4" ht="14.25" customHeight="1" x14ac:dyDescent="0.35">
      <c r="A466" s="18"/>
      <c r="D466" s="19"/>
    </row>
    <row r="467" spans="1:4" ht="14.25" customHeight="1" x14ac:dyDescent="0.35">
      <c r="A467" s="18"/>
      <c r="D467" s="19"/>
    </row>
    <row r="468" spans="1:4" ht="14.25" customHeight="1" x14ac:dyDescent="0.35">
      <c r="A468" s="18"/>
      <c r="D468" s="19"/>
    </row>
    <row r="469" spans="1:4" ht="14.25" customHeight="1" x14ac:dyDescent="0.35">
      <c r="A469" s="18"/>
      <c r="D469" s="19"/>
    </row>
    <row r="470" spans="1:4" ht="14.25" customHeight="1" x14ac:dyDescent="0.35">
      <c r="A470" s="18"/>
      <c r="D470" s="19"/>
    </row>
    <row r="471" spans="1:4" ht="14.25" customHeight="1" x14ac:dyDescent="0.35">
      <c r="A471" s="18"/>
      <c r="D471" s="19"/>
    </row>
    <row r="472" spans="1:4" ht="14.25" customHeight="1" x14ac:dyDescent="0.35">
      <c r="A472" s="18"/>
      <c r="D472" s="19"/>
    </row>
    <row r="473" spans="1:4" ht="14.25" customHeight="1" x14ac:dyDescent="0.35">
      <c r="A473" s="18"/>
      <c r="D473" s="19"/>
    </row>
    <row r="474" spans="1:4" ht="14.25" customHeight="1" x14ac:dyDescent="0.35">
      <c r="A474" s="18"/>
      <c r="D474" s="19"/>
    </row>
    <row r="475" spans="1:4" ht="14.25" customHeight="1" x14ac:dyDescent="0.35">
      <c r="A475" s="18"/>
      <c r="D475" s="19"/>
    </row>
    <row r="476" spans="1:4" ht="14.25" customHeight="1" x14ac:dyDescent="0.35">
      <c r="A476" s="18"/>
      <c r="D476" s="19"/>
    </row>
    <row r="477" spans="1:4" ht="14.25" customHeight="1" x14ac:dyDescent="0.35">
      <c r="A477" s="18"/>
      <c r="D477" s="19"/>
    </row>
    <row r="478" spans="1:4" ht="14.25" customHeight="1" x14ac:dyDescent="0.35">
      <c r="A478" s="18"/>
      <c r="D478" s="19"/>
    </row>
    <row r="479" spans="1:4" ht="14.25" customHeight="1" x14ac:dyDescent="0.35">
      <c r="A479" s="18"/>
      <c r="D479" s="19"/>
    </row>
    <row r="480" spans="1:4" ht="14.25" customHeight="1" x14ac:dyDescent="0.35">
      <c r="A480" s="18"/>
      <c r="D480" s="19"/>
    </row>
    <row r="481" spans="1:4" ht="14.25" customHeight="1" x14ac:dyDescent="0.35">
      <c r="A481" s="18"/>
      <c r="D481" s="19"/>
    </row>
    <row r="482" spans="1:4" ht="14.25" customHeight="1" x14ac:dyDescent="0.35">
      <c r="A482" s="18"/>
      <c r="D482" s="19"/>
    </row>
    <row r="483" spans="1:4" ht="14.25" customHeight="1" x14ac:dyDescent="0.35">
      <c r="A483" s="18"/>
      <c r="D483" s="19"/>
    </row>
    <row r="484" spans="1:4" ht="14.25" customHeight="1" x14ac:dyDescent="0.35">
      <c r="A484" s="18"/>
      <c r="D484" s="19"/>
    </row>
    <row r="485" spans="1:4" ht="14.25" customHeight="1" x14ac:dyDescent="0.35">
      <c r="A485" s="18"/>
      <c r="D485" s="19"/>
    </row>
    <row r="486" spans="1:4" ht="14.25" customHeight="1" x14ac:dyDescent="0.35">
      <c r="A486" s="18"/>
      <c r="D486" s="19"/>
    </row>
    <row r="487" spans="1:4" ht="14.25" customHeight="1" x14ac:dyDescent="0.35">
      <c r="A487" s="18"/>
      <c r="D487" s="19"/>
    </row>
    <row r="488" spans="1:4" ht="14.25" customHeight="1" x14ac:dyDescent="0.35">
      <c r="A488" s="18"/>
      <c r="D488" s="19"/>
    </row>
    <row r="489" spans="1:4" ht="14.25" customHeight="1" x14ac:dyDescent="0.35">
      <c r="A489" s="18"/>
      <c r="D489" s="19"/>
    </row>
    <row r="490" spans="1:4" ht="14.25" customHeight="1" x14ac:dyDescent="0.35">
      <c r="A490" s="18"/>
      <c r="D490" s="19"/>
    </row>
    <row r="491" spans="1:4" ht="14.25" customHeight="1" x14ac:dyDescent="0.35">
      <c r="A491" s="18"/>
      <c r="D491" s="19"/>
    </row>
    <row r="492" spans="1:4" ht="14.25" customHeight="1" x14ac:dyDescent="0.35">
      <c r="A492" s="18"/>
      <c r="D492" s="19"/>
    </row>
    <row r="493" spans="1:4" ht="14.25" customHeight="1" x14ac:dyDescent="0.35">
      <c r="A493" s="18"/>
      <c r="D493" s="19"/>
    </row>
    <row r="494" spans="1:4" ht="14.25" customHeight="1" x14ac:dyDescent="0.35">
      <c r="A494" s="18"/>
      <c r="D494" s="19"/>
    </row>
    <row r="495" spans="1:4" ht="14.25" customHeight="1" x14ac:dyDescent="0.35">
      <c r="A495" s="18"/>
      <c r="D495" s="19"/>
    </row>
    <row r="496" spans="1:4" ht="14.25" customHeight="1" x14ac:dyDescent="0.35">
      <c r="A496" s="18"/>
      <c r="D496" s="19"/>
    </row>
    <row r="497" spans="1:4" ht="14.25" customHeight="1" x14ac:dyDescent="0.35">
      <c r="A497" s="18"/>
      <c r="D497" s="19"/>
    </row>
    <row r="498" spans="1:4" ht="14.25" customHeight="1" x14ac:dyDescent="0.35">
      <c r="A498" s="18"/>
      <c r="D498" s="19"/>
    </row>
    <row r="499" spans="1:4" ht="14.25" customHeight="1" x14ac:dyDescent="0.35">
      <c r="A499" s="18"/>
      <c r="D499" s="19"/>
    </row>
    <row r="500" spans="1:4" ht="14.25" customHeight="1" x14ac:dyDescent="0.35">
      <c r="A500" s="18"/>
      <c r="D500" s="19"/>
    </row>
    <row r="501" spans="1:4" ht="14.25" customHeight="1" x14ac:dyDescent="0.35">
      <c r="A501" s="18"/>
      <c r="D501" s="19"/>
    </row>
    <row r="502" spans="1:4" ht="14.25" customHeight="1" x14ac:dyDescent="0.35">
      <c r="A502" s="18"/>
      <c r="D502" s="19"/>
    </row>
    <row r="503" spans="1:4" ht="14.25" customHeight="1" x14ac:dyDescent="0.35">
      <c r="A503" s="18"/>
      <c r="D503" s="19"/>
    </row>
    <row r="504" spans="1:4" ht="14.25" customHeight="1" x14ac:dyDescent="0.35">
      <c r="A504" s="18"/>
      <c r="D504" s="19"/>
    </row>
    <row r="505" spans="1:4" ht="14.25" customHeight="1" x14ac:dyDescent="0.35">
      <c r="A505" s="18"/>
      <c r="D505" s="19"/>
    </row>
    <row r="506" spans="1:4" ht="14.25" customHeight="1" x14ac:dyDescent="0.35">
      <c r="A506" s="18"/>
      <c r="D506" s="19"/>
    </row>
    <row r="507" spans="1:4" ht="14.25" customHeight="1" x14ac:dyDescent="0.35">
      <c r="A507" s="18"/>
      <c r="D507" s="19"/>
    </row>
    <row r="508" spans="1:4" ht="14.25" customHeight="1" x14ac:dyDescent="0.35">
      <c r="A508" s="18"/>
      <c r="D508" s="19"/>
    </row>
    <row r="509" spans="1:4" ht="14.25" customHeight="1" x14ac:dyDescent="0.35">
      <c r="A509" s="18"/>
      <c r="D509" s="19"/>
    </row>
    <row r="510" spans="1:4" ht="14.25" customHeight="1" x14ac:dyDescent="0.35">
      <c r="A510" s="18"/>
      <c r="D510" s="19"/>
    </row>
    <row r="511" spans="1:4" ht="14.25" customHeight="1" x14ac:dyDescent="0.35">
      <c r="A511" s="18"/>
      <c r="D511" s="19"/>
    </row>
    <row r="512" spans="1:4" ht="14.25" customHeight="1" x14ac:dyDescent="0.35">
      <c r="A512" s="18"/>
      <c r="D512" s="19"/>
    </row>
    <row r="513" spans="1:4" ht="14.25" customHeight="1" x14ac:dyDescent="0.35">
      <c r="A513" s="18"/>
      <c r="D513" s="19"/>
    </row>
    <row r="514" spans="1:4" ht="14.25" customHeight="1" x14ac:dyDescent="0.35">
      <c r="A514" s="18"/>
      <c r="D514" s="19"/>
    </row>
    <row r="515" spans="1:4" ht="14.25" customHeight="1" x14ac:dyDescent="0.35">
      <c r="A515" s="18"/>
      <c r="D515" s="19"/>
    </row>
    <row r="516" spans="1:4" ht="14.25" customHeight="1" x14ac:dyDescent="0.35">
      <c r="A516" s="18"/>
      <c r="D516" s="19"/>
    </row>
    <row r="517" spans="1:4" ht="14.25" customHeight="1" x14ac:dyDescent="0.35">
      <c r="A517" s="18"/>
      <c r="D517" s="19"/>
    </row>
    <row r="518" spans="1:4" ht="14.25" customHeight="1" x14ac:dyDescent="0.35">
      <c r="A518" s="18"/>
      <c r="D518" s="19"/>
    </row>
    <row r="519" spans="1:4" ht="14.25" customHeight="1" x14ac:dyDescent="0.35">
      <c r="A519" s="18"/>
      <c r="D519" s="19"/>
    </row>
    <row r="520" spans="1:4" ht="14.25" customHeight="1" x14ac:dyDescent="0.35">
      <c r="A520" s="18"/>
      <c r="D520" s="19"/>
    </row>
    <row r="521" spans="1:4" ht="14.25" customHeight="1" x14ac:dyDescent="0.35">
      <c r="A521" s="18"/>
      <c r="D521" s="19"/>
    </row>
    <row r="522" spans="1:4" ht="14.25" customHeight="1" x14ac:dyDescent="0.35">
      <c r="A522" s="18"/>
      <c r="D522" s="19"/>
    </row>
    <row r="523" spans="1:4" ht="14.25" customHeight="1" x14ac:dyDescent="0.35">
      <c r="A523" s="18"/>
      <c r="D523" s="19"/>
    </row>
    <row r="524" spans="1:4" ht="14.25" customHeight="1" x14ac:dyDescent="0.35">
      <c r="A524" s="18"/>
      <c r="D524" s="19"/>
    </row>
    <row r="525" spans="1:4" ht="14.25" customHeight="1" x14ac:dyDescent="0.35">
      <c r="A525" s="18"/>
      <c r="D525" s="19"/>
    </row>
    <row r="526" spans="1:4" ht="14.25" customHeight="1" x14ac:dyDescent="0.35">
      <c r="A526" s="18"/>
      <c r="D526" s="19"/>
    </row>
    <row r="527" spans="1:4" ht="14.25" customHeight="1" x14ac:dyDescent="0.35">
      <c r="A527" s="18"/>
      <c r="D527" s="19"/>
    </row>
    <row r="528" spans="1:4" ht="14.25" customHeight="1" x14ac:dyDescent="0.35">
      <c r="A528" s="18"/>
      <c r="D528" s="19"/>
    </row>
    <row r="529" spans="1:4" ht="14.25" customHeight="1" x14ac:dyDescent="0.35">
      <c r="A529" s="18"/>
      <c r="D529" s="19"/>
    </row>
    <row r="530" spans="1:4" ht="14.25" customHeight="1" x14ac:dyDescent="0.35">
      <c r="A530" s="18"/>
      <c r="D530" s="19"/>
    </row>
    <row r="531" spans="1:4" ht="14.25" customHeight="1" x14ac:dyDescent="0.35">
      <c r="A531" s="18"/>
      <c r="D531" s="19"/>
    </row>
    <row r="532" spans="1:4" ht="14.25" customHeight="1" x14ac:dyDescent="0.35">
      <c r="A532" s="18"/>
      <c r="D532" s="19"/>
    </row>
    <row r="533" spans="1:4" ht="14.25" customHeight="1" x14ac:dyDescent="0.35">
      <c r="A533" s="18"/>
      <c r="D533" s="19"/>
    </row>
    <row r="534" spans="1:4" ht="14.25" customHeight="1" x14ac:dyDescent="0.35">
      <c r="A534" s="18"/>
      <c r="D534" s="19"/>
    </row>
    <row r="535" spans="1:4" ht="14.25" customHeight="1" x14ac:dyDescent="0.35">
      <c r="A535" s="18"/>
      <c r="D535" s="19"/>
    </row>
    <row r="536" spans="1:4" ht="14.25" customHeight="1" x14ac:dyDescent="0.35">
      <c r="A536" s="18"/>
      <c r="D536" s="19"/>
    </row>
    <row r="537" spans="1:4" ht="14.25" customHeight="1" x14ac:dyDescent="0.35">
      <c r="A537" s="18"/>
      <c r="D537" s="19"/>
    </row>
    <row r="538" spans="1:4" ht="14.25" customHeight="1" x14ac:dyDescent="0.35">
      <c r="A538" s="18"/>
      <c r="D538" s="19"/>
    </row>
    <row r="539" spans="1:4" ht="14.25" customHeight="1" x14ac:dyDescent="0.35">
      <c r="A539" s="18"/>
      <c r="D539" s="19"/>
    </row>
    <row r="540" spans="1:4" ht="14.25" customHeight="1" x14ac:dyDescent="0.35">
      <c r="A540" s="18"/>
      <c r="D540" s="19"/>
    </row>
    <row r="541" spans="1:4" ht="14.25" customHeight="1" x14ac:dyDescent="0.35">
      <c r="A541" s="18"/>
      <c r="D541" s="19"/>
    </row>
    <row r="542" spans="1:4" ht="14.25" customHeight="1" x14ac:dyDescent="0.35">
      <c r="A542" s="18"/>
      <c r="D542" s="19"/>
    </row>
    <row r="543" spans="1:4" ht="14.25" customHeight="1" x14ac:dyDescent="0.35">
      <c r="A543" s="18"/>
      <c r="D543" s="19"/>
    </row>
    <row r="544" spans="1:4" ht="14.25" customHeight="1" x14ac:dyDescent="0.35">
      <c r="A544" s="18"/>
      <c r="D544" s="19"/>
    </row>
    <row r="545" spans="1:4" ht="14.25" customHeight="1" x14ac:dyDescent="0.35">
      <c r="A545" s="18"/>
      <c r="D545" s="19"/>
    </row>
    <row r="546" spans="1:4" ht="14.25" customHeight="1" x14ac:dyDescent="0.35">
      <c r="A546" s="18"/>
      <c r="D546" s="19"/>
    </row>
    <row r="547" spans="1:4" ht="14.25" customHeight="1" x14ac:dyDescent="0.35">
      <c r="A547" s="18"/>
      <c r="D547" s="19"/>
    </row>
    <row r="548" spans="1:4" ht="14.25" customHeight="1" x14ac:dyDescent="0.35">
      <c r="A548" s="18"/>
      <c r="D548" s="19"/>
    </row>
    <row r="549" spans="1:4" ht="14.25" customHeight="1" x14ac:dyDescent="0.35">
      <c r="A549" s="18"/>
      <c r="D549" s="19"/>
    </row>
    <row r="550" spans="1:4" ht="14.25" customHeight="1" x14ac:dyDescent="0.35">
      <c r="A550" s="18"/>
      <c r="D550" s="19"/>
    </row>
    <row r="551" spans="1:4" ht="14.25" customHeight="1" x14ac:dyDescent="0.35">
      <c r="A551" s="18"/>
      <c r="D551" s="19"/>
    </row>
    <row r="552" spans="1:4" ht="14.25" customHeight="1" x14ac:dyDescent="0.35">
      <c r="A552" s="18"/>
      <c r="D552" s="19"/>
    </row>
    <row r="553" spans="1:4" ht="14.25" customHeight="1" x14ac:dyDescent="0.35">
      <c r="A553" s="18"/>
      <c r="D553" s="19"/>
    </row>
    <row r="554" spans="1:4" ht="14.25" customHeight="1" x14ac:dyDescent="0.35">
      <c r="A554" s="18"/>
      <c r="D554" s="19"/>
    </row>
    <row r="555" spans="1:4" ht="14.25" customHeight="1" x14ac:dyDescent="0.35">
      <c r="A555" s="18"/>
      <c r="D555" s="19"/>
    </row>
    <row r="556" spans="1:4" ht="14.25" customHeight="1" x14ac:dyDescent="0.35">
      <c r="A556" s="18"/>
      <c r="D556" s="19"/>
    </row>
    <row r="557" spans="1:4" ht="14.25" customHeight="1" x14ac:dyDescent="0.35">
      <c r="A557" s="18"/>
      <c r="D557" s="19"/>
    </row>
    <row r="558" spans="1:4" ht="14.25" customHeight="1" x14ac:dyDescent="0.35">
      <c r="A558" s="18"/>
      <c r="D558" s="19"/>
    </row>
    <row r="559" spans="1:4" ht="14.25" customHeight="1" x14ac:dyDescent="0.35">
      <c r="A559" s="18"/>
      <c r="D559" s="19"/>
    </row>
    <row r="560" spans="1:4" ht="14.25" customHeight="1" x14ac:dyDescent="0.35">
      <c r="A560" s="18"/>
      <c r="D560" s="19"/>
    </row>
    <row r="561" spans="1:4" ht="14.25" customHeight="1" x14ac:dyDescent="0.35">
      <c r="A561" s="18"/>
      <c r="D561" s="19"/>
    </row>
    <row r="562" spans="1:4" ht="14.25" customHeight="1" x14ac:dyDescent="0.35">
      <c r="A562" s="18"/>
      <c r="D562" s="19"/>
    </row>
    <row r="563" spans="1:4" ht="14.25" customHeight="1" x14ac:dyDescent="0.35">
      <c r="A563" s="18"/>
      <c r="D563" s="19"/>
    </row>
    <row r="564" spans="1:4" ht="14.25" customHeight="1" x14ac:dyDescent="0.35">
      <c r="A564" s="18"/>
      <c r="D564" s="19"/>
    </row>
    <row r="565" spans="1:4" ht="14.25" customHeight="1" x14ac:dyDescent="0.35">
      <c r="A565" s="18"/>
      <c r="D565" s="19"/>
    </row>
    <row r="566" spans="1:4" ht="14.25" customHeight="1" x14ac:dyDescent="0.35">
      <c r="A566" s="18"/>
      <c r="D566" s="19"/>
    </row>
    <row r="567" spans="1:4" ht="14.25" customHeight="1" x14ac:dyDescent="0.35">
      <c r="A567" s="18"/>
      <c r="D567" s="19"/>
    </row>
    <row r="568" spans="1:4" ht="14.25" customHeight="1" x14ac:dyDescent="0.35">
      <c r="A568" s="18"/>
      <c r="D568" s="19"/>
    </row>
    <row r="569" spans="1:4" ht="14.25" customHeight="1" x14ac:dyDescent="0.35">
      <c r="A569" s="18"/>
      <c r="D569" s="19"/>
    </row>
    <row r="570" spans="1:4" ht="14.25" customHeight="1" x14ac:dyDescent="0.35">
      <c r="A570" s="18"/>
      <c r="D570" s="19"/>
    </row>
    <row r="571" spans="1:4" ht="14.25" customHeight="1" x14ac:dyDescent="0.35">
      <c r="A571" s="18"/>
      <c r="D571" s="19"/>
    </row>
    <row r="572" spans="1:4" ht="14.25" customHeight="1" x14ac:dyDescent="0.35">
      <c r="A572" s="18"/>
      <c r="D572" s="19"/>
    </row>
    <row r="573" spans="1:4" ht="14.25" customHeight="1" x14ac:dyDescent="0.35">
      <c r="A573" s="18"/>
      <c r="D573" s="19"/>
    </row>
    <row r="574" spans="1:4" ht="14.25" customHeight="1" x14ac:dyDescent="0.35">
      <c r="A574" s="18"/>
      <c r="D574" s="19"/>
    </row>
    <row r="575" spans="1:4" ht="14.25" customHeight="1" x14ac:dyDescent="0.35">
      <c r="A575" s="18"/>
      <c r="D575" s="19"/>
    </row>
    <row r="576" spans="1:4" ht="14.25" customHeight="1" x14ac:dyDescent="0.35">
      <c r="A576" s="18"/>
      <c r="D576" s="19"/>
    </row>
    <row r="577" spans="1:4" ht="14.25" customHeight="1" x14ac:dyDescent="0.35">
      <c r="A577" s="18"/>
      <c r="D577" s="19"/>
    </row>
    <row r="578" spans="1:4" ht="14.25" customHeight="1" x14ac:dyDescent="0.35">
      <c r="A578" s="18"/>
      <c r="D578" s="19"/>
    </row>
    <row r="579" spans="1:4" ht="14.25" customHeight="1" x14ac:dyDescent="0.35">
      <c r="A579" s="18"/>
      <c r="D579" s="19"/>
    </row>
    <row r="580" spans="1:4" ht="14.25" customHeight="1" x14ac:dyDescent="0.35">
      <c r="A580" s="18"/>
      <c r="D580" s="19"/>
    </row>
    <row r="581" spans="1:4" ht="14.25" customHeight="1" x14ac:dyDescent="0.35">
      <c r="A581" s="18"/>
      <c r="D581" s="19"/>
    </row>
    <row r="582" spans="1:4" ht="14.25" customHeight="1" x14ac:dyDescent="0.35">
      <c r="A582" s="18"/>
      <c r="D582" s="19"/>
    </row>
    <row r="583" spans="1:4" ht="14.25" customHeight="1" x14ac:dyDescent="0.35">
      <c r="A583" s="18"/>
      <c r="D583" s="19"/>
    </row>
    <row r="584" spans="1:4" ht="14.25" customHeight="1" x14ac:dyDescent="0.35">
      <c r="A584" s="18"/>
      <c r="D584" s="19"/>
    </row>
    <row r="585" spans="1:4" ht="14.25" customHeight="1" x14ac:dyDescent="0.35">
      <c r="A585" s="18"/>
      <c r="D585" s="19"/>
    </row>
    <row r="586" spans="1:4" ht="14.25" customHeight="1" x14ac:dyDescent="0.35">
      <c r="A586" s="18"/>
      <c r="D586" s="19"/>
    </row>
    <row r="587" spans="1:4" ht="14.25" customHeight="1" x14ac:dyDescent="0.35">
      <c r="A587" s="18"/>
      <c r="D587" s="19"/>
    </row>
    <row r="588" spans="1:4" ht="14.25" customHeight="1" x14ac:dyDescent="0.35">
      <c r="A588" s="18"/>
      <c r="D588" s="19"/>
    </row>
    <row r="589" spans="1:4" ht="14.25" customHeight="1" x14ac:dyDescent="0.35">
      <c r="A589" s="18"/>
      <c r="D589" s="19"/>
    </row>
    <row r="590" spans="1:4" ht="14.25" customHeight="1" x14ac:dyDescent="0.35">
      <c r="A590" s="18"/>
      <c r="D590" s="19"/>
    </row>
    <row r="591" spans="1:4" ht="14.25" customHeight="1" x14ac:dyDescent="0.35">
      <c r="A591" s="18"/>
      <c r="D591" s="19"/>
    </row>
    <row r="592" spans="1:4" ht="14.25" customHeight="1" x14ac:dyDescent="0.35">
      <c r="A592" s="18"/>
      <c r="D592" s="19"/>
    </row>
    <row r="593" spans="1:4" ht="14.25" customHeight="1" x14ac:dyDescent="0.35">
      <c r="A593" s="18"/>
      <c r="D593" s="19"/>
    </row>
    <row r="594" spans="1:4" ht="14.25" customHeight="1" x14ac:dyDescent="0.35">
      <c r="A594" s="18"/>
      <c r="D594" s="19"/>
    </row>
    <row r="595" spans="1:4" ht="14.25" customHeight="1" x14ac:dyDescent="0.35">
      <c r="A595" s="18"/>
      <c r="D595" s="19"/>
    </row>
    <row r="596" spans="1:4" ht="14.25" customHeight="1" x14ac:dyDescent="0.35">
      <c r="A596" s="18"/>
      <c r="D596" s="19"/>
    </row>
    <row r="597" spans="1:4" ht="14.25" customHeight="1" x14ac:dyDescent="0.35">
      <c r="A597" s="18"/>
      <c r="D597" s="19"/>
    </row>
    <row r="598" spans="1:4" ht="14.25" customHeight="1" x14ac:dyDescent="0.35">
      <c r="A598" s="18"/>
      <c r="D598" s="19"/>
    </row>
    <row r="599" spans="1:4" ht="14.25" customHeight="1" x14ac:dyDescent="0.35">
      <c r="A599" s="18"/>
      <c r="D599" s="19"/>
    </row>
    <row r="600" spans="1:4" ht="14.25" customHeight="1" x14ac:dyDescent="0.35">
      <c r="A600" s="18"/>
      <c r="D600" s="19"/>
    </row>
    <row r="601" spans="1:4" ht="14.25" customHeight="1" x14ac:dyDescent="0.35">
      <c r="A601" s="18"/>
      <c r="D601" s="19"/>
    </row>
    <row r="602" spans="1:4" ht="14.25" customHeight="1" x14ac:dyDescent="0.35">
      <c r="A602" s="18"/>
      <c r="D602" s="19"/>
    </row>
    <row r="603" spans="1:4" ht="14.25" customHeight="1" x14ac:dyDescent="0.35">
      <c r="A603" s="18"/>
      <c r="D603" s="19"/>
    </row>
    <row r="604" spans="1:4" ht="14.25" customHeight="1" x14ac:dyDescent="0.35">
      <c r="A604" s="18"/>
      <c r="D604" s="19"/>
    </row>
    <row r="605" spans="1:4" ht="14.25" customHeight="1" x14ac:dyDescent="0.35">
      <c r="A605" s="18"/>
      <c r="D605" s="19"/>
    </row>
    <row r="606" spans="1:4" ht="14.25" customHeight="1" x14ac:dyDescent="0.35">
      <c r="A606" s="18"/>
      <c r="D606" s="19"/>
    </row>
    <row r="607" spans="1:4" ht="14.25" customHeight="1" x14ac:dyDescent="0.35">
      <c r="A607" s="18"/>
      <c r="D607" s="19"/>
    </row>
    <row r="608" spans="1:4" ht="14.25" customHeight="1" x14ac:dyDescent="0.35">
      <c r="A608" s="18"/>
      <c r="D608" s="19"/>
    </row>
    <row r="609" spans="1:4" ht="14.25" customHeight="1" x14ac:dyDescent="0.35">
      <c r="A609" s="18"/>
      <c r="D609" s="19"/>
    </row>
    <row r="610" spans="1:4" ht="14.25" customHeight="1" x14ac:dyDescent="0.35">
      <c r="A610" s="18"/>
      <c r="D610" s="19"/>
    </row>
    <row r="611" spans="1:4" ht="14.25" customHeight="1" x14ac:dyDescent="0.35">
      <c r="A611" s="18"/>
      <c r="D611" s="19"/>
    </row>
    <row r="612" spans="1:4" ht="14.25" customHeight="1" x14ac:dyDescent="0.35">
      <c r="A612" s="18"/>
      <c r="D612" s="19"/>
    </row>
    <row r="613" spans="1:4" ht="14.25" customHeight="1" x14ac:dyDescent="0.35">
      <c r="A613" s="18"/>
      <c r="D613" s="19"/>
    </row>
    <row r="614" spans="1:4" ht="14.25" customHeight="1" x14ac:dyDescent="0.35">
      <c r="A614" s="18"/>
      <c r="D614" s="19"/>
    </row>
    <row r="615" spans="1:4" ht="14.25" customHeight="1" x14ac:dyDescent="0.35">
      <c r="A615" s="18"/>
      <c r="D615" s="19"/>
    </row>
    <row r="616" spans="1:4" ht="14.25" customHeight="1" x14ac:dyDescent="0.35">
      <c r="A616" s="18"/>
      <c r="D616" s="19"/>
    </row>
    <row r="617" spans="1:4" ht="14.25" customHeight="1" x14ac:dyDescent="0.35">
      <c r="A617" s="18"/>
      <c r="D617" s="19"/>
    </row>
    <row r="618" spans="1:4" ht="14.25" customHeight="1" x14ac:dyDescent="0.35">
      <c r="A618" s="18"/>
      <c r="D618" s="19"/>
    </row>
    <row r="619" spans="1:4" ht="14.25" customHeight="1" x14ac:dyDescent="0.35">
      <c r="A619" s="18"/>
      <c r="D619" s="19"/>
    </row>
    <row r="620" spans="1:4" ht="14.25" customHeight="1" x14ac:dyDescent="0.35">
      <c r="A620" s="18"/>
      <c r="D620" s="19"/>
    </row>
    <row r="621" spans="1:4" ht="14.25" customHeight="1" x14ac:dyDescent="0.35">
      <c r="A621" s="18"/>
      <c r="D621" s="19"/>
    </row>
    <row r="622" spans="1:4" ht="14.25" customHeight="1" x14ac:dyDescent="0.35">
      <c r="A622" s="18"/>
      <c r="D622" s="19"/>
    </row>
    <row r="623" spans="1:4" ht="14.25" customHeight="1" x14ac:dyDescent="0.35">
      <c r="A623" s="18"/>
      <c r="D623" s="19"/>
    </row>
    <row r="624" spans="1:4" ht="14.25" customHeight="1" x14ac:dyDescent="0.35">
      <c r="A624" s="18"/>
      <c r="D624" s="19"/>
    </row>
    <row r="625" spans="1:4" ht="14.25" customHeight="1" x14ac:dyDescent="0.35">
      <c r="A625" s="18"/>
      <c r="D625" s="19"/>
    </row>
    <row r="626" spans="1:4" ht="14.25" customHeight="1" x14ac:dyDescent="0.35">
      <c r="A626" s="18"/>
      <c r="D626" s="19"/>
    </row>
    <row r="627" spans="1:4" ht="14.25" customHeight="1" x14ac:dyDescent="0.35">
      <c r="A627" s="18"/>
      <c r="D627" s="19"/>
    </row>
    <row r="628" spans="1:4" ht="14.25" customHeight="1" x14ac:dyDescent="0.35">
      <c r="A628" s="18"/>
      <c r="D628" s="19"/>
    </row>
    <row r="629" spans="1:4" ht="14.25" customHeight="1" x14ac:dyDescent="0.35">
      <c r="A629" s="18"/>
      <c r="D629" s="19"/>
    </row>
    <row r="630" spans="1:4" ht="14.25" customHeight="1" x14ac:dyDescent="0.35">
      <c r="A630" s="18"/>
      <c r="D630" s="19"/>
    </row>
    <row r="631" spans="1:4" ht="14.25" customHeight="1" x14ac:dyDescent="0.35">
      <c r="A631" s="18"/>
      <c r="D631" s="19"/>
    </row>
    <row r="632" spans="1:4" ht="14.25" customHeight="1" x14ac:dyDescent="0.35">
      <c r="A632" s="18"/>
      <c r="D632" s="19"/>
    </row>
    <row r="633" spans="1:4" ht="14.25" customHeight="1" x14ac:dyDescent="0.35">
      <c r="A633" s="18"/>
      <c r="D633" s="19"/>
    </row>
    <row r="634" spans="1:4" ht="14.25" customHeight="1" x14ac:dyDescent="0.35">
      <c r="A634" s="18"/>
      <c r="D634" s="19"/>
    </row>
    <row r="635" spans="1:4" ht="14.25" customHeight="1" x14ac:dyDescent="0.35">
      <c r="A635" s="18"/>
      <c r="D635" s="19"/>
    </row>
    <row r="636" spans="1:4" ht="14.25" customHeight="1" x14ac:dyDescent="0.35">
      <c r="A636" s="18"/>
      <c r="D636" s="19"/>
    </row>
    <row r="637" spans="1:4" ht="14.25" customHeight="1" x14ac:dyDescent="0.35">
      <c r="A637" s="18"/>
      <c r="D637" s="19"/>
    </row>
    <row r="638" spans="1:4" ht="14.25" customHeight="1" x14ac:dyDescent="0.35">
      <c r="A638" s="18"/>
      <c r="D638" s="19"/>
    </row>
    <row r="639" spans="1:4" ht="14.25" customHeight="1" x14ac:dyDescent="0.35">
      <c r="A639" s="18"/>
      <c r="D639" s="19"/>
    </row>
    <row r="640" spans="1:4" ht="14.25" customHeight="1" x14ac:dyDescent="0.35">
      <c r="A640" s="18"/>
      <c r="D640" s="19"/>
    </row>
    <row r="641" spans="1:4" ht="14.25" customHeight="1" x14ac:dyDescent="0.35">
      <c r="A641" s="18"/>
      <c r="D641" s="19"/>
    </row>
    <row r="642" spans="1:4" ht="14.25" customHeight="1" x14ac:dyDescent="0.35">
      <c r="A642" s="18"/>
      <c r="D642" s="19"/>
    </row>
    <row r="643" spans="1:4" ht="14.25" customHeight="1" x14ac:dyDescent="0.35">
      <c r="A643" s="18"/>
      <c r="D643" s="19"/>
    </row>
    <row r="644" spans="1:4" ht="14.25" customHeight="1" x14ac:dyDescent="0.35">
      <c r="A644" s="18"/>
      <c r="D644" s="19"/>
    </row>
    <row r="645" spans="1:4" ht="14.25" customHeight="1" x14ac:dyDescent="0.35">
      <c r="A645" s="18"/>
      <c r="D645" s="19"/>
    </row>
    <row r="646" spans="1:4" ht="14.25" customHeight="1" x14ac:dyDescent="0.35">
      <c r="A646" s="18"/>
      <c r="D646" s="19"/>
    </row>
    <row r="647" spans="1:4" ht="14.25" customHeight="1" x14ac:dyDescent="0.35">
      <c r="A647" s="18"/>
      <c r="D647" s="19"/>
    </row>
    <row r="648" spans="1:4" ht="14.25" customHeight="1" x14ac:dyDescent="0.35">
      <c r="A648" s="18"/>
      <c r="D648" s="19"/>
    </row>
    <row r="649" spans="1:4" ht="14.25" customHeight="1" x14ac:dyDescent="0.35">
      <c r="A649" s="18"/>
      <c r="D649" s="19"/>
    </row>
    <row r="650" spans="1:4" ht="14.25" customHeight="1" x14ac:dyDescent="0.35">
      <c r="A650" s="18"/>
      <c r="D650" s="19"/>
    </row>
    <row r="651" spans="1:4" ht="14.25" customHeight="1" x14ac:dyDescent="0.35">
      <c r="A651" s="18"/>
      <c r="D651" s="19"/>
    </row>
    <row r="652" spans="1:4" ht="14.25" customHeight="1" x14ac:dyDescent="0.35">
      <c r="A652" s="18"/>
      <c r="D652" s="19"/>
    </row>
    <row r="653" spans="1:4" ht="14.25" customHeight="1" x14ac:dyDescent="0.35">
      <c r="A653" s="18"/>
      <c r="D653" s="19"/>
    </row>
    <row r="654" spans="1:4" ht="14.25" customHeight="1" x14ac:dyDescent="0.35">
      <c r="A654" s="18"/>
      <c r="D654" s="19"/>
    </row>
    <row r="655" spans="1:4" ht="14.25" customHeight="1" x14ac:dyDescent="0.35">
      <c r="A655" s="18"/>
      <c r="D655" s="19"/>
    </row>
    <row r="656" spans="1:4" ht="14.25" customHeight="1" x14ac:dyDescent="0.35">
      <c r="A656" s="18"/>
      <c r="D656" s="19"/>
    </row>
    <row r="657" spans="1:4" ht="14.25" customHeight="1" x14ac:dyDescent="0.35">
      <c r="A657" s="18"/>
      <c r="D657" s="19"/>
    </row>
    <row r="658" spans="1:4" ht="14.25" customHeight="1" x14ac:dyDescent="0.35">
      <c r="A658" s="18"/>
      <c r="D658" s="19"/>
    </row>
    <row r="659" spans="1:4" ht="14.25" customHeight="1" x14ac:dyDescent="0.35">
      <c r="A659" s="18"/>
      <c r="D659" s="19"/>
    </row>
    <row r="660" spans="1:4" ht="14.25" customHeight="1" x14ac:dyDescent="0.35">
      <c r="A660" s="18"/>
      <c r="D660" s="19"/>
    </row>
    <row r="661" spans="1:4" ht="14.25" customHeight="1" x14ac:dyDescent="0.35">
      <c r="A661" s="18"/>
      <c r="D661" s="19"/>
    </row>
    <row r="662" spans="1:4" ht="14.25" customHeight="1" x14ac:dyDescent="0.35">
      <c r="A662" s="18"/>
      <c r="D662" s="19"/>
    </row>
    <row r="663" spans="1:4" ht="14.25" customHeight="1" x14ac:dyDescent="0.35">
      <c r="A663" s="18"/>
      <c r="D663" s="19"/>
    </row>
    <row r="664" spans="1:4" ht="14.25" customHeight="1" x14ac:dyDescent="0.35">
      <c r="A664" s="18"/>
      <c r="D664" s="19"/>
    </row>
    <row r="665" spans="1:4" ht="14.25" customHeight="1" x14ac:dyDescent="0.35">
      <c r="A665" s="18"/>
      <c r="D665" s="19"/>
    </row>
    <row r="666" spans="1:4" ht="14.25" customHeight="1" x14ac:dyDescent="0.35">
      <c r="A666" s="18"/>
      <c r="D666" s="19"/>
    </row>
    <row r="667" spans="1:4" ht="14.25" customHeight="1" x14ac:dyDescent="0.35">
      <c r="A667" s="18"/>
      <c r="D667" s="19"/>
    </row>
    <row r="668" spans="1:4" ht="14.25" customHeight="1" x14ac:dyDescent="0.35">
      <c r="A668" s="18"/>
      <c r="D668" s="19"/>
    </row>
    <row r="669" spans="1:4" ht="14.25" customHeight="1" x14ac:dyDescent="0.35">
      <c r="A669" s="18"/>
      <c r="D669" s="19"/>
    </row>
    <row r="670" spans="1:4" ht="14.25" customHeight="1" x14ac:dyDescent="0.35">
      <c r="A670" s="18"/>
      <c r="D670" s="19"/>
    </row>
    <row r="671" spans="1:4" ht="14.25" customHeight="1" x14ac:dyDescent="0.35">
      <c r="A671" s="18"/>
      <c r="D671" s="19"/>
    </row>
    <row r="672" spans="1:4" ht="14.25" customHeight="1" x14ac:dyDescent="0.35">
      <c r="A672" s="18"/>
      <c r="D672" s="19"/>
    </row>
    <row r="673" spans="1:4" ht="14.25" customHeight="1" x14ac:dyDescent="0.35">
      <c r="A673" s="18"/>
      <c r="D673" s="19"/>
    </row>
    <row r="674" spans="1:4" ht="14.25" customHeight="1" x14ac:dyDescent="0.35">
      <c r="A674" s="18"/>
      <c r="D674" s="19"/>
    </row>
    <row r="675" spans="1:4" ht="14.25" customHeight="1" x14ac:dyDescent="0.35">
      <c r="A675" s="18"/>
      <c r="D675" s="19"/>
    </row>
    <row r="676" spans="1:4" ht="14.25" customHeight="1" x14ac:dyDescent="0.35">
      <c r="A676" s="18"/>
      <c r="D676" s="19"/>
    </row>
    <row r="677" spans="1:4" ht="14.25" customHeight="1" x14ac:dyDescent="0.35">
      <c r="A677" s="18"/>
      <c r="D677" s="19"/>
    </row>
    <row r="678" spans="1:4" ht="14.25" customHeight="1" x14ac:dyDescent="0.35">
      <c r="A678" s="18"/>
      <c r="D678" s="19"/>
    </row>
    <row r="679" spans="1:4" ht="14.25" customHeight="1" x14ac:dyDescent="0.35">
      <c r="A679" s="18"/>
      <c r="D679" s="19"/>
    </row>
    <row r="680" spans="1:4" ht="14.25" customHeight="1" x14ac:dyDescent="0.35">
      <c r="A680" s="18"/>
      <c r="D680" s="19"/>
    </row>
    <row r="681" spans="1:4" ht="14.25" customHeight="1" x14ac:dyDescent="0.35">
      <c r="A681" s="18"/>
      <c r="D681" s="19"/>
    </row>
    <row r="682" spans="1:4" ht="14.25" customHeight="1" x14ac:dyDescent="0.35">
      <c r="A682" s="18"/>
      <c r="D682" s="19"/>
    </row>
    <row r="683" spans="1:4" ht="14.25" customHeight="1" x14ac:dyDescent="0.35">
      <c r="A683" s="18"/>
      <c r="D683" s="19"/>
    </row>
    <row r="684" spans="1:4" ht="14.25" customHeight="1" x14ac:dyDescent="0.35">
      <c r="A684" s="18"/>
      <c r="D684" s="19"/>
    </row>
    <row r="685" spans="1:4" ht="14.25" customHeight="1" x14ac:dyDescent="0.35">
      <c r="A685" s="18"/>
      <c r="D685" s="19"/>
    </row>
    <row r="686" spans="1:4" ht="14.25" customHeight="1" x14ac:dyDescent="0.35">
      <c r="A686" s="18"/>
      <c r="D686" s="19"/>
    </row>
    <row r="687" spans="1:4" ht="14.25" customHeight="1" x14ac:dyDescent="0.35">
      <c r="A687" s="18"/>
      <c r="D687" s="19"/>
    </row>
    <row r="688" spans="1:4" ht="14.25" customHeight="1" x14ac:dyDescent="0.35">
      <c r="A688" s="18"/>
      <c r="D688" s="19"/>
    </row>
    <row r="689" spans="1:4" ht="14.25" customHeight="1" x14ac:dyDescent="0.35">
      <c r="A689" s="18"/>
      <c r="D689" s="19"/>
    </row>
    <row r="690" spans="1:4" ht="14.25" customHeight="1" x14ac:dyDescent="0.35">
      <c r="A690" s="18"/>
      <c r="D690" s="19"/>
    </row>
    <row r="691" spans="1:4" ht="14.25" customHeight="1" x14ac:dyDescent="0.35">
      <c r="A691" s="18"/>
      <c r="D691" s="19"/>
    </row>
    <row r="692" spans="1:4" ht="14.25" customHeight="1" x14ac:dyDescent="0.35">
      <c r="A692" s="18"/>
      <c r="D692" s="19"/>
    </row>
    <row r="693" spans="1:4" ht="14.25" customHeight="1" x14ac:dyDescent="0.35">
      <c r="A693" s="18"/>
      <c r="D693" s="19"/>
    </row>
    <row r="694" spans="1:4" ht="14.25" customHeight="1" x14ac:dyDescent="0.35">
      <c r="A694" s="18"/>
      <c r="D694" s="19"/>
    </row>
    <row r="695" spans="1:4" ht="14.25" customHeight="1" x14ac:dyDescent="0.35">
      <c r="A695" s="18"/>
      <c r="D695" s="19"/>
    </row>
    <row r="696" spans="1:4" ht="14.25" customHeight="1" x14ac:dyDescent="0.35">
      <c r="A696" s="18"/>
      <c r="D696" s="19"/>
    </row>
    <row r="697" spans="1:4" ht="14.25" customHeight="1" x14ac:dyDescent="0.35">
      <c r="A697" s="18"/>
      <c r="D697" s="19"/>
    </row>
    <row r="698" spans="1:4" ht="14.25" customHeight="1" x14ac:dyDescent="0.35">
      <c r="A698" s="18"/>
      <c r="D698" s="19"/>
    </row>
    <row r="699" spans="1:4" ht="14.25" customHeight="1" x14ac:dyDescent="0.35">
      <c r="A699" s="18"/>
      <c r="D699" s="19"/>
    </row>
    <row r="700" spans="1:4" ht="14.25" customHeight="1" x14ac:dyDescent="0.35">
      <c r="A700" s="18"/>
      <c r="D700" s="19"/>
    </row>
    <row r="701" spans="1:4" ht="14.25" customHeight="1" x14ac:dyDescent="0.35">
      <c r="A701" s="18"/>
      <c r="D701" s="19"/>
    </row>
    <row r="702" spans="1:4" ht="14.25" customHeight="1" x14ac:dyDescent="0.35">
      <c r="A702" s="18"/>
      <c r="D702" s="19"/>
    </row>
    <row r="703" spans="1:4" ht="14.25" customHeight="1" x14ac:dyDescent="0.35">
      <c r="A703" s="18"/>
      <c r="D703" s="19"/>
    </row>
    <row r="704" spans="1:4" ht="14.25" customHeight="1" x14ac:dyDescent="0.35">
      <c r="A704" s="18"/>
      <c r="D704" s="19"/>
    </row>
    <row r="705" spans="1:4" ht="14.25" customHeight="1" x14ac:dyDescent="0.35">
      <c r="A705" s="18"/>
      <c r="D705" s="19"/>
    </row>
    <row r="706" spans="1:4" ht="14.25" customHeight="1" x14ac:dyDescent="0.35">
      <c r="A706" s="18"/>
      <c r="D706" s="19"/>
    </row>
    <row r="707" spans="1:4" ht="14.25" customHeight="1" x14ac:dyDescent="0.35">
      <c r="A707" s="18"/>
      <c r="D707" s="19"/>
    </row>
    <row r="708" spans="1:4" ht="14.25" customHeight="1" x14ac:dyDescent="0.35">
      <c r="A708" s="18"/>
      <c r="D708" s="19"/>
    </row>
    <row r="709" spans="1:4" ht="14.25" customHeight="1" x14ac:dyDescent="0.35">
      <c r="A709" s="18"/>
      <c r="D709" s="19"/>
    </row>
    <row r="710" spans="1:4" ht="14.25" customHeight="1" x14ac:dyDescent="0.35">
      <c r="A710" s="18"/>
      <c r="D710" s="19"/>
    </row>
    <row r="711" spans="1:4" ht="14.25" customHeight="1" x14ac:dyDescent="0.35">
      <c r="A711" s="18"/>
      <c r="D711" s="19"/>
    </row>
    <row r="712" spans="1:4" ht="14.25" customHeight="1" x14ac:dyDescent="0.35">
      <c r="A712" s="18"/>
      <c r="D712" s="19"/>
    </row>
    <row r="713" spans="1:4" ht="14.25" customHeight="1" x14ac:dyDescent="0.35">
      <c r="A713" s="18"/>
      <c r="D713" s="19"/>
    </row>
    <row r="714" spans="1:4" ht="14.25" customHeight="1" x14ac:dyDescent="0.35">
      <c r="A714" s="18"/>
      <c r="D714" s="19"/>
    </row>
    <row r="715" spans="1:4" ht="14.25" customHeight="1" x14ac:dyDescent="0.35">
      <c r="A715" s="18"/>
      <c r="D715" s="19"/>
    </row>
    <row r="716" spans="1:4" ht="14.25" customHeight="1" x14ac:dyDescent="0.35">
      <c r="A716" s="18"/>
      <c r="D716" s="19"/>
    </row>
    <row r="717" spans="1:4" ht="14.25" customHeight="1" x14ac:dyDescent="0.35">
      <c r="A717" s="18"/>
      <c r="D717" s="19"/>
    </row>
    <row r="718" spans="1:4" ht="14.25" customHeight="1" x14ac:dyDescent="0.35">
      <c r="A718" s="18"/>
      <c r="D718" s="19"/>
    </row>
    <row r="719" spans="1:4" ht="14.25" customHeight="1" x14ac:dyDescent="0.35">
      <c r="A719" s="18"/>
      <c r="D719" s="19"/>
    </row>
    <row r="720" spans="1:4" ht="14.25" customHeight="1" x14ac:dyDescent="0.35">
      <c r="A720" s="18"/>
      <c r="D720" s="19"/>
    </row>
    <row r="721" spans="1:4" ht="14.25" customHeight="1" x14ac:dyDescent="0.35">
      <c r="A721" s="18"/>
      <c r="D721" s="19"/>
    </row>
    <row r="722" spans="1:4" ht="14.25" customHeight="1" x14ac:dyDescent="0.35">
      <c r="A722" s="18"/>
      <c r="D722" s="19"/>
    </row>
    <row r="723" spans="1:4" ht="14.25" customHeight="1" x14ac:dyDescent="0.35">
      <c r="A723" s="18"/>
      <c r="D723" s="19"/>
    </row>
    <row r="724" spans="1:4" ht="14.25" customHeight="1" x14ac:dyDescent="0.35">
      <c r="A724" s="18"/>
      <c r="D724" s="19"/>
    </row>
    <row r="725" spans="1:4" ht="14.25" customHeight="1" x14ac:dyDescent="0.35">
      <c r="A725" s="18"/>
      <c r="D725" s="19"/>
    </row>
    <row r="726" spans="1:4" ht="14.25" customHeight="1" x14ac:dyDescent="0.35">
      <c r="A726" s="18"/>
      <c r="D726" s="19"/>
    </row>
    <row r="727" spans="1:4" ht="14.25" customHeight="1" x14ac:dyDescent="0.35">
      <c r="A727" s="18"/>
      <c r="D727" s="19"/>
    </row>
    <row r="728" spans="1:4" ht="14.25" customHeight="1" x14ac:dyDescent="0.35">
      <c r="A728" s="18"/>
      <c r="D728" s="19"/>
    </row>
    <row r="729" spans="1:4" ht="14.25" customHeight="1" x14ac:dyDescent="0.35">
      <c r="A729" s="18"/>
      <c r="D729" s="19"/>
    </row>
    <row r="730" spans="1:4" ht="14.25" customHeight="1" x14ac:dyDescent="0.35">
      <c r="A730" s="18"/>
      <c r="D730" s="19"/>
    </row>
    <row r="731" spans="1:4" ht="14.25" customHeight="1" x14ac:dyDescent="0.35">
      <c r="A731" s="18"/>
      <c r="D731" s="19"/>
    </row>
    <row r="732" spans="1:4" ht="14.25" customHeight="1" x14ac:dyDescent="0.35">
      <c r="A732" s="18"/>
      <c r="D732" s="19"/>
    </row>
    <row r="733" spans="1:4" ht="14.25" customHeight="1" x14ac:dyDescent="0.35">
      <c r="A733" s="18"/>
      <c r="D733" s="19"/>
    </row>
    <row r="734" spans="1:4" ht="14.25" customHeight="1" x14ac:dyDescent="0.35">
      <c r="A734" s="18"/>
      <c r="D734" s="19"/>
    </row>
    <row r="735" spans="1:4" ht="14.25" customHeight="1" x14ac:dyDescent="0.35">
      <c r="A735" s="18"/>
      <c r="D735" s="19"/>
    </row>
    <row r="736" spans="1:4" ht="14.25" customHeight="1" x14ac:dyDescent="0.35">
      <c r="A736" s="18"/>
      <c r="D736" s="19"/>
    </row>
    <row r="737" spans="1:4" ht="14.25" customHeight="1" x14ac:dyDescent="0.35">
      <c r="A737" s="18"/>
      <c r="D737" s="19"/>
    </row>
    <row r="738" spans="1:4" ht="14.25" customHeight="1" x14ac:dyDescent="0.35">
      <c r="A738" s="18"/>
      <c r="D738" s="19"/>
    </row>
    <row r="739" spans="1:4" ht="14.25" customHeight="1" x14ac:dyDescent="0.35">
      <c r="A739" s="18"/>
      <c r="D739" s="19"/>
    </row>
    <row r="740" spans="1:4" ht="14.25" customHeight="1" x14ac:dyDescent="0.35">
      <c r="A740" s="18"/>
      <c r="D740" s="19"/>
    </row>
    <row r="741" spans="1:4" ht="14.25" customHeight="1" x14ac:dyDescent="0.35">
      <c r="A741" s="18"/>
      <c r="D741" s="19"/>
    </row>
    <row r="742" spans="1:4" ht="14.25" customHeight="1" x14ac:dyDescent="0.35">
      <c r="A742" s="18"/>
      <c r="D742" s="19"/>
    </row>
    <row r="743" spans="1:4" ht="14.25" customHeight="1" x14ac:dyDescent="0.35">
      <c r="A743" s="18"/>
      <c r="D743" s="19"/>
    </row>
    <row r="744" spans="1:4" ht="14.25" customHeight="1" x14ac:dyDescent="0.35">
      <c r="A744" s="18"/>
      <c r="D744" s="19"/>
    </row>
    <row r="745" spans="1:4" ht="14.25" customHeight="1" x14ac:dyDescent="0.35">
      <c r="A745" s="18"/>
      <c r="D745" s="19"/>
    </row>
    <row r="746" spans="1:4" ht="14.25" customHeight="1" x14ac:dyDescent="0.35">
      <c r="A746" s="18"/>
      <c r="D746" s="19"/>
    </row>
    <row r="747" spans="1:4" ht="14.25" customHeight="1" x14ac:dyDescent="0.35">
      <c r="A747" s="18"/>
      <c r="D747" s="19"/>
    </row>
    <row r="748" spans="1:4" ht="14.25" customHeight="1" x14ac:dyDescent="0.35">
      <c r="A748" s="18"/>
      <c r="D748" s="19"/>
    </row>
    <row r="749" spans="1:4" ht="14.25" customHeight="1" x14ac:dyDescent="0.35">
      <c r="A749" s="18"/>
      <c r="D749" s="19"/>
    </row>
    <row r="750" spans="1:4" ht="14.25" customHeight="1" x14ac:dyDescent="0.35">
      <c r="A750" s="18"/>
      <c r="D750" s="19"/>
    </row>
    <row r="751" spans="1:4" ht="14.25" customHeight="1" x14ac:dyDescent="0.35">
      <c r="A751" s="18"/>
      <c r="D751" s="19"/>
    </row>
    <row r="752" spans="1:4" ht="14.25" customHeight="1" x14ac:dyDescent="0.35">
      <c r="A752" s="18"/>
      <c r="D752" s="19"/>
    </row>
    <row r="753" spans="1:4" ht="14.25" customHeight="1" x14ac:dyDescent="0.35">
      <c r="A753" s="18"/>
      <c r="D753" s="19"/>
    </row>
    <row r="754" spans="1:4" ht="14.25" customHeight="1" x14ac:dyDescent="0.35">
      <c r="A754" s="18"/>
      <c r="D754" s="19"/>
    </row>
    <row r="755" spans="1:4" ht="14.25" customHeight="1" x14ac:dyDescent="0.35">
      <c r="A755" s="18"/>
      <c r="D755" s="19"/>
    </row>
    <row r="756" spans="1:4" ht="14.25" customHeight="1" x14ac:dyDescent="0.35">
      <c r="A756" s="18"/>
      <c r="D756" s="19"/>
    </row>
    <row r="757" spans="1:4" ht="14.25" customHeight="1" x14ac:dyDescent="0.35">
      <c r="A757" s="18"/>
      <c r="D757" s="19"/>
    </row>
    <row r="758" spans="1:4" ht="14.25" customHeight="1" x14ac:dyDescent="0.35">
      <c r="A758" s="18"/>
      <c r="D758" s="19"/>
    </row>
    <row r="759" spans="1:4" ht="14.25" customHeight="1" x14ac:dyDescent="0.35">
      <c r="A759" s="18"/>
      <c r="D759" s="19"/>
    </row>
    <row r="760" spans="1:4" ht="14.25" customHeight="1" x14ac:dyDescent="0.35">
      <c r="A760" s="18"/>
      <c r="D760" s="19"/>
    </row>
    <row r="761" spans="1:4" ht="14.25" customHeight="1" x14ac:dyDescent="0.35">
      <c r="A761" s="18"/>
      <c r="D761" s="19"/>
    </row>
    <row r="762" spans="1:4" ht="14.25" customHeight="1" x14ac:dyDescent="0.35">
      <c r="A762" s="18"/>
      <c r="D762" s="19"/>
    </row>
    <row r="763" spans="1:4" ht="14.25" customHeight="1" x14ac:dyDescent="0.35">
      <c r="A763" s="18"/>
      <c r="D763" s="19"/>
    </row>
    <row r="764" spans="1:4" ht="14.25" customHeight="1" x14ac:dyDescent="0.35">
      <c r="A764" s="18"/>
      <c r="D764" s="19"/>
    </row>
    <row r="765" spans="1:4" ht="14.25" customHeight="1" x14ac:dyDescent="0.35">
      <c r="A765" s="18"/>
      <c r="D765" s="19"/>
    </row>
    <row r="766" spans="1:4" ht="14.25" customHeight="1" x14ac:dyDescent="0.35">
      <c r="A766" s="18"/>
      <c r="D766" s="19"/>
    </row>
    <row r="767" spans="1:4" ht="14.25" customHeight="1" x14ac:dyDescent="0.35">
      <c r="A767" s="18"/>
      <c r="D767" s="19"/>
    </row>
    <row r="768" spans="1:4" ht="14.25" customHeight="1" x14ac:dyDescent="0.35">
      <c r="A768" s="18"/>
      <c r="D768" s="19"/>
    </row>
    <row r="769" spans="1:4" ht="14.25" customHeight="1" x14ac:dyDescent="0.35">
      <c r="A769" s="18"/>
      <c r="D769" s="19"/>
    </row>
    <row r="770" spans="1:4" ht="14.25" customHeight="1" x14ac:dyDescent="0.35">
      <c r="A770" s="18"/>
      <c r="D770" s="19"/>
    </row>
    <row r="771" spans="1:4" ht="14.25" customHeight="1" x14ac:dyDescent="0.35">
      <c r="A771" s="18"/>
      <c r="D771" s="19"/>
    </row>
    <row r="772" spans="1:4" ht="14.25" customHeight="1" x14ac:dyDescent="0.35">
      <c r="A772" s="18"/>
      <c r="D772" s="19"/>
    </row>
    <row r="773" spans="1:4" ht="14.25" customHeight="1" x14ac:dyDescent="0.35">
      <c r="A773" s="18"/>
      <c r="D773" s="19"/>
    </row>
    <row r="774" spans="1:4" ht="14.25" customHeight="1" x14ac:dyDescent="0.35">
      <c r="A774" s="18"/>
      <c r="D774" s="19"/>
    </row>
    <row r="775" spans="1:4" ht="14.25" customHeight="1" x14ac:dyDescent="0.35">
      <c r="A775" s="18"/>
      <c r="D775" s="19"/>
    </row>
    <row r="776" spans="1:4" ht="14.25" customHeight="1" x14ac:dyDescent="0.35">
      <c r="A776" s="18"/>
      <c r="D776" s="19"/>
    </row>
    <row r="777" spans="1:4" ht="14.25" customHeight="1" x14ac:dyDescent="0.35">
      <c r="A777" s="18"/>
      <c r="D777" s="19"/>
    </row>
    <row r="778" spans="1:4" ht="14.25" customHeight="1" x14ac:dyDescent="0.35">
      <c r="A778" s="18"/>
      <c r="D778" s="19"/>
    </row>
    <row r="779" spans="1:4" ht="14.25" customHeight="1" x14ac:dyDescent="0.35">
      <c r="A779" s="18"/>
      <c r="D779" s="19"/>
    </row>
    <row r="780" spans="1:4" ht="14.25" customHeight="1" x14ac:dyDescent="0.35">
      <c r="A780" s="18"/>
      <c r="D780" s="19"/>
    </row>
    <row r="781" spans="1:4" ht="14.25" customHeight="1" x14ac:dyDescent="0.35">
      <c r="A781" s="18"/>
      <c r="D781" s="19"/>
    </row>
    <row r="782" spans="1:4" ht="14.25" customHeight="1" x14ac:dyDescent="0.35">
      <c r="A782" s="18"/>
      <c r="D782" s="19"/>
    </row>
    <row r="783" spans="1:4" ht="14.25" customHeight="1" x14ac:dyDescent="0.35">
      <c r="A783" s="18"/>
      <c r="D783" s="19"/>
    </row>
    <row r="784" spans="1:4" ht="14.25" customHeight="1" x14ac:dyDescent="0.35">
      <c r="A784" s="18"/>
      <c r="D784" s="19"/>
    </row>
    <row r="785" spans="1:4" ht="14.25" customHeight="1" x14ac:dyDescent="0.35">
      <c r="A785" s="18"/>
      <c r="D785" s="19"/>
    </row>
    <row r="786" spans="1:4" ht="14.25" customHeight="1" x14ac:dyDescent="0.35">
      <c r="A786" s="18"/>
      <c r="D786" s="19"/>
    </row>
    <row r="787" spans="1:4" ht="14.25" customHeight="1" x14ac:dyDescent="0.35">
      <c r="A787" s="18"/>
      <c r="D787" s="19"/>
    </row>
    <row r="788" spans="1:4" ht="14.25" customHeight="1" x14ac:dyDescent="0.35">
      <c r="A788" s="18"/>
      <c r="D788" s="19"/>
    </row>
    <row r="789" spans="1:4" ht="14.25" customHeight="1" x14ac:dyDescent="0.35">
      <c r="A789" s="18"/>
      <c r="D789" s="19"/>
    </row>
    <row r="790" spans="1:4" ht="14.25" customHeight="1" x14ac:dyDescent="0.35">
      <c r="A790" s="18"/>
      <c r="D790" s="19"/>
    </row>
    <row r="791" spans="1:4" ht="14.25" customHeight="1" x14ac:dyDescent="0.35">
      <c r="A791" s="18"/>
      <c r="D791" s="19"/>
    </row>
    <row r="792" spans="1:4" ht="14.25" customHeight="1" x14ac:dyDescent="0.35">
      <c r="A792" s="18"/>
      <c r="D792" s="19"/>
    </row>
    <row r="793" spans="1:4" ht="14.25" customHeight="1" x14ac:dyDescent="0.35">
      <c r="A793" s="18"/>
      <c r="D793" s="19"/>
    </row>
    <row r="794" spans="1:4" ht="14.25" customHeight="1" x14ac:dyDescent="0.35">
      <c r="A794" s="18"/>
      <c r="D794" s="19"/>
    </row>
    <row r="795" spans="1:4" ht="14.25" customHeight="1" x14ac:dyDescent="0.35">
      <c r="A795" s="18"/>
      <c r="D795" s="19"/>
    </row>
    <row r="796" spans="1:4" ht="14.25" customHeight="1" x14ac:dyDescent="0.35">
      <c r="A796" s="18"/>
      <c r="D796" s="19"/>
    </row>
    <row r="797" spans="1:4" ht="14.25" customHeight="1" x14ac:dyDescent="0.35">
      <c r="A797" s="18"/>
      <c r="D797" s="19"/>
    </row>
    <row r="798" spans="1:4" ht="14.25" customHeight="1" x14ac:dyDescent="0.35">
      <c r="A798" s="18"/>
      <c r="D798" s="19"/>
    </row>
    <row r="799" spans="1:4" ht="14.25" customHeight="1" x14ac:dyDescent="0.35">
      <c r="A799" s="18"/>
      <c r="D799" s="19"/>
    </row>
    <row r="800" spans="1:4" ht="14.25" customHeight="1" x14ac:dyDescent="0.35">
      <c r="A800" s="18"/>
      <c r="D800" s="19"/>
    </row>
    <row r="801" spans="1:4" ht="14.25" customHeight="1" x14ac:dyDescent="0.35">
      <c r="A801" s="18"/>
      <c r="D801" s="19"/>
    </row>
    <row r="802" spans="1:4" ht="14.25" customHeight="1" x14ac:dyDescent="0.35">
      <c r="A802" s="18"/>
      <c r="D802" s="19"/>
    </row>
    <row r="803" spans="1:4" ht="14.25" customHeight="1" x14ac:dyDescent="0.35">
      <c r="A803" s="18"/>
      <c r="D803" s="19"/>
    </row>
    <row r="804" spans="1:4" ht="14.25" customHeight="1" x14ac:dyDescent="0.35">
      <c r="A804" s="18"/>
      <c r="D804" s="19"/>
    </row>
    <row r="805" spans="1:4" ht="14.25" customHeight="1" x14ac:dyDescent="0.35">
      <c r="A805" s="18"/>
      <c r="D805" s="19"/>
    </row>
    <row r="806" spans="1:4" ht="14.25" customHeight="1" x14ac:dyDescent="0.35">
      <c r="A806" s="18"/>
      <c r="D806" s="19"/>
    </row>
    <row r="807" spans="1:4" ht="14.25" customHeight="1" x14ac:dyDescent="0.35">
      <c r="A807" s="18"/>
      <c r="D807" s="19"/>
    </row>
    <row r="808" spans="1:4" ht="14.25" customHeight="1" x14ac:dyDescent="0.35">
      <c r="A808" s="18"/>
      <c r="D808" s="19"/>
    </row>
    <row r="809" spans="1:4" ht="14.25" customHeight="1" x14ac:dyDescent="0.35">
      <c r="A809" s="18"/>
      <c r="D809" s="19"/>
    </row>
    <row r="810" spans="1:4" ht="14.25" customHeight="1" x14ac:dyDescent="0.35">
      <c r="A810" s="18"/>
      <c r="D810" s="19"/>
    </row>
    <row r="811" spans="1:4" ht="14.25" customHeight="1" x14ac:dyDescent="0.35">
      <c r="A811" s="18"/>
      <c r="D811" s="19"/>
    </row>
    <row r="812" spans="1:4" ht="14.25" customHeight="1" x14ac:dyDescent="0.35">
      <c r="A812" s="18"/>
      <c r="D812" s="19"/>
    </row>
    <row r="813" spans="1:4" ht="14.25" customHeight="1" x14ac:dyDescent="0.35">
      <c r="A813" s="18"/>
      <c r="D813" s="19"/>
    </row>
    <row r="814" spans="1:4" ht="14.25" customHeight="1" x14ac:dyDescent="0.35">
      <c r="A814" s="18"/>
      <c r="D814" s="19"/>
    </row>
    <row r="815" spans="1:4" ht="14.25" customHeight="1" x14ac:dyDescent="0.35">
      <c r="A815" s="18"/>
      <c r="D815" s="19"/>
    </row>
    <row r="816" spans="1:4" ht="14.25" customHeight="1" x14ac:dyDescent="0.35">
      <c r="A816" s="18"/>
      <c r="D816" s="19"/>
    </row>
    <row r="817" spans="1:4" ht="14.25" customHeight="1" x14ac:dyDescent="0.35">
      <c r="A817" s="18"/>
      <c r="D817" s="19"/>
    </row>
    <row r="818" spans="1:4" ht="14.25" customHeight="1" x14ac:dyDescent="0.35">
      <c r="A818" s="18"/>
      <c r="D818" s="19"/>
    </row>
    <row r="819" spans="1:4" ht="14.25" customHeight="1" x14ac:dyDescent="0.35">
      <c r="A819" s="18"/>
      <c r="D819" s="19"/>
    </row>
    <row r="820" spans="1:4" ht="14.25" customHeight="1" x14ac:dyDescent="0.35">
      <c r="A820" s="18"/>
      <c r="D820" s="19"/>
    </row>
    <row r="821" spans="1:4" ht="14.25" customHeight="1" x14ac:dyDescent="0.35">
      <c r="A821" s="18"/>
      <c r="D821" s="19"/>
    </row>
    <row r="822" spans="1:4" ht="14.25" customHeight="1" x14ac:dyDescent="0.35">
      <c r="A822" s="18"/>
      <c r="D822" s="19"/>
    </row>
    <row r="823" spans="1:4" ht="14.25" customHeight="1" x14ac:dyDescent="0.35">
      <c r="A823" s="18"/>
      <c r="D823" s="19"/>
    </row>
    <row r="824" spans="1:4" ht="14.25" customHeight="1" x14ac:dyDescent="0.35">
      <c r="A824" s="18"/>
      <c r="D824" s="19"/>
    </row>
    <row r="825" spans="1:4" ht="14.25" customHeight="1" x14ac:dyDescent="0.35">
      <c r="A825" s="18"/>
      <c r="D825" s="19"/>
    </row>
    <row r="826" spans="1:4" ht="14.25" customHeight="1" x14ac:dyDescent="0.35">
      <c r="A826" s="18"/>
      <c r="D826" s="19"/>
    </row>
    <row r="827" spans="1:4" ht="14.25" customHeight="1" x14ac:dyDescent="0.35">
      <c r="A827" s="18"/>
      <c r="D827" s="19"/>
    </row>
    <row r="828" spans="1:4" ht="14.25" customHeight="1" x14ac:dyDescent="0.35">
      <c r="A828" s="18"/>
      <c r="D828" s="19"/>
    </row>
    <row r="829" spans="1:4" ht="14.25" customHeight="1" x14ac:dyDescent="0.35">
      <c r="A829" s="18"/>
      <c r="D829" s="19"/>
    </row>
    <row r="830" spans="1:4" ht="14.25" customHeight="1" x14ac:dyDescent="0.35">
      <c r="A830" s="18"/>
      <c r="D830" s="19"/>
    </row>
    <row r="831" spans="1:4" ht="14.25" customHeight="1" x14ac:dyDescent="0.35">
      <c r="A831" s="18"/>
      <c r="D831" s="19"/>
    </row>
    <row r="832" spans="1:4" ht="14.25" customHeight="1" x14ac:dyDescent="0.35">
      <c r="A832" s="18"/>
      <c r="D832" s="19"/>
    </row>
    <row r="833" spans="1:4" ht="14.25" customHeight="1" x14ac:dyDescent="0.35">
      <c r="A833" s="18"/>
      <c r="D833" s="19"/>
    </row>
    <row r="834" spans="1:4" ht="14.25" customHeight="1" x14ac:dyDescent="0.35">
      <c r="A834" s="18"/>
      <c r="D834" s="19"/>
    </row>
    <row r="835" spans="1:4" ht="14.25" customHeight="1" x14ac:dyDescent="0.35">
      <c r="A835" s="18"/>
      <c r="D835" s="19"/>
    </row>
    <row r="836" spans="1:4" ht="14.25" customHeight="1" x14ac:dyDescent="0.35">
      <c r="A836" s="18"/>
      <c r="D836" s="19"/>
    </row>
    <row r="837" spans="1:4" ht="14.25" customHeight="1" x14ac:dyDescent="0.35">
      <c r="A837" s="18"/>
      <c r="D837" s="19"/>
    </row>
    <row r="838" spans="1:4" ht="14.25" customHeight="1" x14ac:dyDescent="0.35">
      <c r="A838" s="18"/>
      <c r="D838" s="19"/>
    </row>
    <row r="839" spans="1:4" ht="14.25" customHeight="1" x14ac:dyDescent="0.35">
      <c r="A839" s="18"/>
      <c r="D839" s="19"/>
    </row>
    <row r="840" spans="1:4" ht="14.25" customHeight="1" x14ac:dyDescent="0.35">
      <c r="A840" s="18"/>
      <c r="D840" s="19"/>
    </row>
    <row r="841" spans="1:4" ht="14.25" customHeight="1" x14ac:dyDescent="0.35">
      <c r="A841" s="18"/>
      <c r="D841" s="19"/>
    </row>
    <row r="842" spans="1:4" ht="14.25" customHeight="1" x14ac:dyDescent="0.35">
      <c r="A842" s="18"/>
      <c r="D842" s="19"/>
    </row>
    <row r="843" spans="1:4" ht="14.25" customHeight="1" x14ac:dyDescent="0.35">
      <c r="A843" s="18"/>
      <c r="D843" s="19"/>
    </row>
    <row r="844" spans="1:4" ht="14.25" customHeight="1" x14ac:dyDescent="0.35">
      <c r="A844" s="18"/>
      <c r="D844" s="19"/>
    </row>
    <row r="845" spans="1:4" ht="14.25" customHeight="1" x14ac:dyDescent="0.35">
      <c r="A845" s="18"/>
      <c r="D845" s="19"/>
    </row>
    <row r="846" spans="1:4" ht="14.25" customHeight="1" x14ac:dyDescent="0.35">
      <c r="A846" s="18"/>
      <c r="D846" s="19"/>
    </row>
    <row r="847" spans="1:4" ht="14.25" customHeight="1" x14ac:dyDescent="0.35">
      <c r="A847" s="18"/>
      <c r="D847" s="19"/>
    </row>
    <row r="848" spans="1:4" ht="14.25" customHeight="1" x14ac:dyDescent="0.35">
      <c r="A848" s="18"/>
      <c r="D848" s="19"/>
    </row>
    <row r="849" spans="1:4" ht="14.25" customHeight="1" x14ac:dyDescent="0.35">
      <c r="A849" s="18"/>
      <c r="D849" s="19"/>
    </row>
    <row r="850" spans="1:4" ht="14.25" customHeight="1" x14ac:dyDescent="0.35">
      <c r="A850" s="18"/>
      <c r="D850" s="19"/>
    </row>
    <row r="851" spans="1:4" ht="14.25" customHeight="1" x14ac:dyDescent="0.35">
      <c r="A851" s="18"/>
      <c r="D851" s="19"/>
    </row>
    <row r="852" spans="1:4" ht="14.25" customHeight="1" x14ac:dyDescent="0.35">
      <c r="A852" s="18"/>
      <c r="D852" s="19"/>
    </row>
    <row r="853" spans="1:4" ht="14.25" customHeight="1" x14ac:dyDescent="0.35">
      <c r="A853" s="18"/>
      <c r="D853" s="19"/>
    </row>
    <row r="854" spans="1:4" ht="14.25" customHeight="1" x14ac:dyDescent="0.35">
      <c r="A854" s="18"/>
      <c r="D854" s="19"/>
    </row>
    <row r="855" spans="1:4" ht="14.25" customHeight="1" x14ac:dyDescent="0.35">
      <c r="A855" s="18"/>
      <c r="D855" s="19"/>
    </row>
    <row r="856" spans="1:4" ht="14.25" customHeight="1" x14ac:dyDescent="0.35">
      <c r="A856" s="18"/>
      <c r="D856" s="19"/>
    </row>
    <row r="857" spans="1:4" ht="14.25" customHeight="1" x14ac:dyDescent="0.35">
      <c r="A857" s="18"/>
      <c r="D857" s="19"/>
    </row>
    <row r="858" spans="1:4" ht="14.25" customHeight="1" x14ac:dyDescent="0.35">
      <c r="A858" s="18"/>
      <c r="D858" s="19"/>
    </row>
    <row r="859" spans="1:4" ht="14.25" customHeight="1" x14ac:dyDescent="0.35">
      <c r="A859" s="18"/>
      <c r="D859" s="19"/>
    </row>
    <row r="860" spans="1:4" ht="14.25" customHeight="1" x14ac:dyDescent="0.35">
      <c r="A860" s="18"/>
      <c r="D860" s="19"/>
    </row>
    <row r="861" spans="1:4" ht="14.25" customHeight="1" x14ac:dyDescent="0.35">
      <c r="A861" s="18"/>
      <c r="D861" s="19"/>
    </row>
    <row r="862" spans="1:4" ht="14.25" customHeight="1" x14ac:dyDescent="0.35">
      <c r="A862" s="18"/>
      <c r="D862" s="19"/>
    </row>
    <row r="863" spans="1:4" ht="14.25" customHeight="1" x14ac:dyDescent="0.35">
      <c r="A863" s="18"/>
      <c r="D863" s="19"/>
    </row>
    <row r="864" spans="1:4" ht="14.25" customHeight="1" x14ac:dyDescent="0.35">
      <c r="A864" s="18"/>
      <c r="D864" s="19"/>
    </row>
    <row r="865" spans="1:4" ht="14.25" customHeight="1" x14ac:dyDescent="0.35">
      <c r="A865" s="18"/>
      <c r="D865" s="19"/>
    </row>
    <row r="866" spans="1:4" ht="14.25" customHeight="1" x14ac:dyDescent="0.35">
      <c r="A866" s="18"/>
      <c r="D866" s="19"/>
    </row>
    <row r="867" spans="1:4" ht="14.25" customHeight="1" x14ac:dyDescent="0.35">
      <c r="A867" s="18"/>
      <c r="D867" s="19"/>
    </row>
    <row r="868" spans="1:4" ht="14.25" customHeight="1" x14ac:dyDescent="0.35">
      <c r="A868" s="18"/>
      <c r="D868" s="19"/>
    </row>
    <row r="869" spans="1:4" ht="14.25" customHeight="1" x14ac:dyDescent="0.35">
      <c r="A869" s="18"/>
      <c r="D869" s="19"/>
    </row>
    <row r="870" spans="1:4" ht="14.25" customHeight="1" x14ac:dyDescent="0.35">
      <c r="A870" s="18"/>
      <c r="D870" s="19"/>
    </row>
    <row r="871" spans="1:4" ht="14.25" customHeight="1" x14ac:dyDescent="0.35">
      <c r="A871" s="18"/>
      <c r="D871" s="19"/>
    </row>
    <row r="872" spans="1:4" ht="14.25" customHeight="1" x14ac:dyDescent="0.35">
      <c r="A872" s="18"/>
      <c r="D872" s="19"/>
    </row>
    <row r="873" spans="1:4" ht="14.25" customHeight="1" x14ac:dyDescent="0.35">
      <c r="A873" s="18"/>
      <c r="D873" s="19"/>
    </row>
    <row r="874" spans="1:4" ht="14.25" customHeight="1" x14ac:dyDescent="0.35">
      <c r="A874" s="18"/>
      <c r="D874" s="19"/>
    </row>
    <row r="875" spans="1:4" ht="14.25" customHeight="1" x14ac:dyDescent="0.35">
      <c r="A875" s="18"/>
      <c r="D875" s="19"/>
    </row>
    <row r="876" spans="1:4" ht="14.25" customHeight="1" x14ac:dyDescent="0.35">
      <c r="A876" s="18"/>
      <c r="D876" s="19"/>
    </row>
    <row r="877" spans="1:4" ht="14.25" customHeight="1" x14ac:dyDescent="0.35">
      <c r="A877" s="18"/>
      <c r="D877" s="19"/>
    </row>
    <row r="878" spans="1:4" ht="14.25" customHeight="1" x14ac:dyDescent="0.35">
      <c r="A878" s="18"/>
      <c r="D878" s="19"/>
    </row>
    <row r="879" spans="1:4" ht="14.25" customHeight="1" x14ac:dyDescent="0.35">
      <c r="A879" s="18"/>
      <c r="D879" s="19"/>
    </row>
    <row r="880" spans="1:4" ht="14.25" customHeight="1" x14ac:dyDescent="0.35">
      <c r="A880" s="18"/>
      <c r="D880" s="19"/>
    </row>
    <row r="881" spans="1:4" ht="14.25" customHeight="1" x14ac:dyDescent="0.35">
      <c r="A881" s="18"/>
      <c r="D881" s="19"/>
    </row>
    <row r="882" spans="1:4" ht="14.25" customHeight="1" x14ac:dyDescent="0.35">
      <c r="A882" s="18"/>
      <c r="D882" s="19"/>
    </row>
    <row r="883" spans="1:4" ht="14.25" customHeight="1" x14ac:dyDescent="0.35">
      <c r="A883" s="18"/>
      <c r="D883" s="19"/>
    </row>
    <row r="884" spans="1:4" ht="14.25" customHeight="1" x14ac:dyDescent="0.35">
      <c r="A884" s="18"/>
      <c r="D884" s="19"/>
    </row>
    <row r="885" spans="1:4" ht="14.25" customHeight="1" x14ac:dyDescent="0.35">
      <c r="A885" s="18"/>
      <c r="D885" s="19"/>
    </row>
    <row r="886" spans="1:4" ht="14.25" customHeight="1" x14ac:dyDescent="0.35">
      <c r="A886" s="18"/>
      <c r="D886" s="19"/>
    </row>
    <row r="887" spans="1:4" ht="14.25" customHeight="1" x14ac:dyDescent="0.35">
      <c r="A887" s="18"/>
      <c r="D887" s="19"/>
    </row>
    <row r="888" spans="1:4" ht="14.25" customHeight="1" x14ac:dyDescent="0.35">
      <c r="A888" s="18"/>
      <c r="D888" s="19"/>
    </row>
    <row r="889" spans="1:4" ht="14.25" customHeight="1" x14ac:dyDescent="0.35">
      <c r="A889" s="18"/>
      <c r="D889" s="19"/>
    </row>
    <row r="890" spans="1:4" ht="14.25" customHeight="1" x14ac:dyDescent="0.35">
      <c r="A890" s="18"/>
      <c r="D890" s="19"/>
    </row>
    <row r="891" spans="1:4" ht="14.25" customHeight="1" x14ac:dyDescent="0.35">
      <c r="A891" s="18"/>
      <c r="D891" s="19"/>
    </row>
    <row r="892" spans="1:4" ht="14.25" customHeight="1" x14ac:dyDescent="0.35">
      <c r="A892" s="18"/>
      <c r="D892" s="19"/>
    </row>
    <row r="893" spans="1:4" ht="14.25" customHeight="1" x14ac:dyDescent="0.35">
      <c r="A893" s="18"/>
      <c r="D893" s="19"/>
    </row>
    <row r="894" spans="1:4" ht="14.25" customHeight="1" x14ac:dyDescent="0.35">
      <c r="A894" s="18"/>
      <c r="D894" s="19"/>
    </row>
    <row r="895" spans="1:4" ht="14.25" customHeight="1" x14ac:dyDescent="0.35">
      <c r="A895" s="18"/>
      <c r="D895" s="19"/>
    </row>
    <row r="896" spans="1:4" ht="14.25" customHeight="1" x14ac:dyDescent="0.35">
      <c r="A896" s="18"/>
      <c r="D896" s="19"/>
    </row>
    <row r="897" spans="1:4" ht="14.25" customHeight="1" x14ac:dyDescent="0.35">
      <c r="A897" s="18"/>
      <c r="D897" s="19"/>
    </row>
    <row r="898" spans="1:4" ht="14.25" customHeight="1" x14ac:dyDescent="0.35">
      <c r="A898" s="18"/>
      <c r="D898" s="19"/>
    </row>
    <row r="899" spans="1:4" ht="14.25" customHeight="1" x14ac:dyDescent="0.35">
      <c r="A899" s="18"/>
      <c r="D899" s="19"/>
    </row>
    <row r="900" spans="1:4" ht="14.25" customHeight="1" x14ac:dyDescent="0.35">
      <c r="A900" s="18"/>
      <c r="D900" s="19"/>
    </row>
    <row r="901" spans="1:4" ht="14.25" customHeight="1" x14ac:dyDescent="0.35">
      <c r="A901" s="18"/>
      <c r="D901" s="19"/>
    </row>
    <row r="902" spans="1:4" ht="14.25" customHeight="1" x14ac:dyDescent="0.35">
      <c r="A902" s="18"/>
      <c r="D902" s="19"/>
    </row>
    <row r="903" spans="1:4" ht="14.25" customHeight="1" x14ac:dyDescent="0.35">
      <c r="A903" s="18"/>
      <c r="D903" s="19"/>
    </row>
    <row r="904" spans="1:4" ht="14.25" customHeight="1" x14ac:dyDescent="0.35">
      <c r="A904" s="18"/>
      <c r="D904" s="19"/>
    </row>
    <row r="905" spans="1:4" ht="14.25" customHeight="1" x14ac:dyDescent="0.35">
      <c r="A905" s="18"/>
      <c r="D905" s="19"/>
    </row>
    <row r="906" spans="1:4" ht="14.25" customHeight="1" x14ac:dyDescent="0.35">
      <c r="A906" s="18"/>
      <c r="D906" s="19"/>
    </row>
    <row r="907" spans="1:4" ht="14.25" customHeight="1" x14ac:dyDescent="0.35">
      <c r="A907" s="18"/>
      <c r="D907" s="19"/>
    </row>
    <row r="908" spans="1:4" ht="14.25" customHeight="1" x14ac:dyDescent="0.35">
      <c r="A908" s="18"/>
      <c r="D908" s="19"/>
    </row>
    <row r="909" spans="1:4" ht="14.25" customHeight="1" x14ac:dyDescent="0.35">
      <c r="A909" s="18"/>
      <c r="D909" s="19"/>
    </row>
    <row r="910" spans="1:4" ht="14.25" customHeight="1" x14ac:dyDescent="0.35">
      <c r="A910" s="18"/>
      <c r="D910" s="19"/>
    </row>
    <row r="911" spans="1:4" ht="14.25" customHeight="1" x14ac:dyDescent="0.35">
      <c r="A911" s="18"/>
      <c r="D911" s="19"/>
    </row>
    <row r="912" spans="1:4" ht="14.25" customHeight="1" x14ac:dyDescent="0.35">
      <c r="A912" s="18"/>
      <c r="D912" s="19"/>
    </row>
    <row r="913" spans="1:4" ht="14.25" customHeight="1" x14ac:dyDescent="0.35">
      <c r="A913" s="18"/>
      <c r="D913" s="19"/>
    </row>
    <row r="914" spans="1:4" ht="14.25" customHeight="1" x14ac:dyDescent="0.35">
      <c r="A914" s="18"/>
      <c r="D914" s="19"/>
    </row>
    <row r="915" spans="1:4" ht="14.25" customHeight="1" x14ac:dyDescent="0.35">
      <c r="A915" s="18"/>
      <c r="D915" s="19"/>
    </row>
    <row r="916" spans="1:4" ht="14.25" customHeight="1" x14ac:dyDescent="0.35">
      <c r="A916" s="18"/>
      <c r="D916" s="19"/>
    </row>
    <row r="917" spans="1:4" ht="14.25" customHeight="1" x14ac:dyDescent="0.35">
      <c r="A917" s="18"/>
      <c r="D917" s="19"/>
    </row>
    <row r="918" spans="1:4" ht="14.25" customHeight="1" x14ac:dyDescent="0.35">
      <c r="A918" s="18"/>
      <c r="D918" s="19"/>
    </row>
    <row r="919" spans="1:4" ht="14.25" customHeight="1" x14ac:dyDescent="0.35">
      <c r="A919" s="18"/>
      <c r="D919" s="19"/>
    </row>
    <row r="920" spans="1:4" ht="14.25" customHeight="1" x14ac:dyDescent="0.35">
      <c r="A920" s="18"/>
      <c r="D920" s="19"/>
    </row>
    <row r="921" spans="1:4" ht="14.25" customHeight="1" x14ac:dyDescent="0.35">
      <c r="A921" s="18"/>
      <c r="D921" s="19"/>
    </row>
    <row r="922" spans="1:4" ht="14.25" customHeight="1" x14ac:dyDescent="0.35">
      <c r="A922" s="18"/>
      <c r="D922" s="19"/>
    </row>
    <row r="923" spans="1:4" ht="14.25" customHeight="1" x14ac:dyDescent="0.35">
      <c r="A923" s="18"/>
      <c r="D923" s="19"/>
    </row>
    <row r="924" spans="1:4" ht="14.25" customHeight="1" x14ac:dyDescent="0.35">
      <c r="A924" s="18"/>
      <c r="D924" s="19"/>
    </row>
    <row r="925" spans="1:4" ht="14.25" customHeight="1" x14ac:dyDescent="0.35">
      <c r="A925" s="18"/>
      <c r="D925" s="19"/>
    </row>
    <row r="926" spans="1:4" ht="14.25" customHeight="1" x14ac:dyDescent="0.35">
      <c r="A926" s="18"/>
      <c r="D926" s="19"/>
    </row>
    <row r="927" spans="1:4" ht="14.25" customHeight="1" x14ac:dyDescent="0.35">
      <c r="A927" s="18"/>
      <c r="D927" s="19"/>
    </row>
    <row r="928" spans="1:4" ht="14.25" customHeight="1" x14ac:dyDescent="0.35">
      <c r="A928" s="18"/>
      <c r="D928" s="19"/>
    </row>
    <row r="929" spans="1:4" ht="14.25" customHeight="1" x14ac:dyDescent="0.35">
      <c r="A929" s="18"/>
      <c r="D929" s="19"/>
    </row>
    <row r="930" spans="1:4" ht="14.25" customHeight="1" x14ac:dyDescent="0.35">
      <c r="A930" s="18"/>
      <c r="D930" s="19"/>
    </row>
    <row r="931" spans="1:4" ht="14.25" customHeight="1" x14ac:dyDescent="0.35">
      <c r="A931" s="18"/>
      <c r="D931" s="19"/>
    </row>
    <row r="932" spans="1:4" ht="14.25" customHeight="1" x14ac:dyDescent="0.35">
      <c r="A932" s="18"/>
      <c r="D932" s="19"/>
    </row>
    <row r="933" spans="1:4" ht="14.25" customHeight="1" x14ac:dyDescent="0.35">
      <c r="A933" s="18"/>
      <c r="D933" s="19"/>
    </row>
    <row r="934" spans="1:4" ht="14.25" customHeight="1" x14ac:dyDescent="0.35">
      <c r="A934" s="18"/>
      <c r="D934" s="19"/>
    </row>
    <row r="935" spans="1:4" ht="14.25" customHeight="1" x14ac:dyDescent="0.35">
      <c r="A935" s="18"/>
      <c r="D935" s="19"/>
    </row>
    <row r="936" spans="1:4" ht="14.25" customHeight="1" x14ac:dyDescent="0.35">
      <c r="A936" s="18"/>
      <c r="D936" s="19"/>
    </row>
    <row r="937" spans="1:4" ht="14.25" customHeight="1" x14ac:dyDescent="0.35">
      <c r="A937" s="18"/>
      <c r="D937" s="19"/>
    </row>
    <row r="938" spans="1:4" ht="14.25" customHeight="1" x14ac:dyDescent="0.35">
      <c r="A938" s="18"/>
      <c r="D938" s="19"/>
    </row>
    <row r="939" spans="1:4" ht="14.25" customHeight="1" x14ac:dyDescent="0.35">
      <c r="A939" s="18"/>
      <c r="D939" s="19"/>
    </row>
    <row r="940" spans="1:4" ht="14.25" customHeight="1" x14ac:dyDescent="0.35">
      <c r="A940" s="18"/>
      <c r="D940" s="19"/>
    </row>
    <row r="941" spans="1:4" ht="14.25" customHeight="1" x14ac:dyDescent="0.35">
      <c r="A941" s="18"/>
      <c r="D941" s="19"/>
    </row>
    <row r="942" spans="1:4" ht="14.25" customHeight="1" x14ac:dyDescent="0.35">
      <c r="A942" s="18"/>
      <c r="D942" s="19"/>
    </row>
    <row r="943" spans="1:4" ht="14.25" customHeight="1" x14ac:dyDescent="0.35">
      <c r="A943" s="18"/>
      <c r="D943" s="19"/>
    </row>
    <row r="944" spans="1:4" ht="14.25" customHeight="1" x14ac:dyDescent="0.35">
      <c r="A944" s="18"/>
      <c r="D944" s="19"/>
    </row>
    <row r="945" spans="1:4" ht="14.25" customHeight="1" x14ac:dyDescent="0.35">
      <c r="A945" s="18"/>
      <c r="D945" s="19"/>
    </row>
    <row r="946" spans="1:4" ht="14.25" customHeight="1" x14ac:dyDescent="0.35">
      <c r="A946" s="18"/>
      <c r="D946" s="19"/>
    </row>
    <row r="947" spans="1:4" ht="14.25" customHeight="1" x14ac:dyDescent="0.35">
      <c r="A947" s="18"/>
      <c r="D947" s="19"/>
    </row>
    <row r="948" spans="1:4" ht="14.25" customHeight="1" x14ac:dyDescent="0.35">
      <c r="A948" s="18"/>
      <c r="D948" s="19"/>
    </row>
    <row r="949" spans="1:4" ht="14.25" customHeight="1" x14ac:dyDescent="0.35">
      <c r="A949" s="18"/>
      <c r="D949" s="19"/>
    </row>
    <row r="950" spans="1:4" ht="14.25" customHeight="1" x14ac:dyDescent="0.35">
      <c r="A950" s="18"/>
      <c r="D950" s="19"/>
    </row>
    <row r="951" spans="1:4" ht="14.25" customHeight="1" x14ac:dyDescent="0.35">
      <c r="A951" s="18"/>
      <c r="D951" s="19"/>
    </row>
    <row r="952" spans="1:4" ht="14.25" customHeight="1" x14ac:dyDescent="0.35">
      <c r="A952" s="18"/>
      <c r="D952" s="19"/>
    </row>
    <row r="953" spans="1:4" ht="14.25" customHeight="1" x14ac:dyDescent="0.35">
      <c r="A953" s="18"/>
      <c r="D953" s="19"/>
    </row>
    <row r="954" spans="1:4" ht="14.25" customHeight="1" x14ac:dyDescent="0.35">
      <c r="A954" s="18"/>
      <c r="D954" s="19"/>
    </row>
    <row r="955" spans="1:4" ht="14.25" customHeight="1" x14ac:dyDescent="0.35">
      <c r="A955" s="18"/>
      <c r="D955" s="19"/>
    </row>
    <row r="956" spans="1:4" ht="14.25" customHeight="1" x14ac:dyDescent="0.35">
      <c r="A956" s="18"/>
      <c r="D956" s="19"/>
    </row>
    <row r="957" spans="1:4" ht="14.25" customHeight="1" x14ac:dyDescent="0.35">
      <c r="A957" s="18"/>
      <c r="D957" s="19"/>
    </row>
    <row r="958" spans="1:4" ht="14.25" customHeight="1" x14ac:dyDescent="0.35">
      <c r="A958" s="18"/>
      <c r="D958" s="19"/>
    </row>
    <row r="959" spans="1:4" ht="14.25" customHeight="1" x14ac:dyDescent="0.35">
      <c r="A959" s="18"/>
      <c r="D959" s="19"/>
    </row>
    <row r="960" spans="1:4" ht="14.25" customHeight="1" x14ac:dyDescent="0.35">
      <c r="A960" s="18"/>
      <c r="D960" s="19"/>
    </row>
    <row r="961" spans="1:4" ht="14.25" customHeight="1" x14ac:dyDescent="0.35">
      <c r="A961" s="18"/>
      <c r="D961" s="19"/>
    </row>
    <row r="962" spans="1:4" ht="14.25" customHeight="1" x14ac:dyDescent="0.35">
      <c r="A962" s="18"/>
      <c r="D962" s="19"/>
    </row>
    <row r="963" spans="1:4" ht="14.25" customHeight="1" x14ac:dyDescent="0.35">
      <c r="A963" s="18"/>
      <c r="D963" s="19"/>
    </row>
    <row r="964" spans="1:4" ht="14.25" customHeight="1" x14ac:dyDescent="0.35">
      <c r="A964" s="18"/>
      <c r="D964" s="19"/>
    </row>
    <row r="965" spans="1:4" ht="14.25" customHeight="1" x14ac:dyDescent="0.35">
      <c r="A965" s="18"/>
      <c r="D965" s="19"/>
    </row>
    <row r="966" spans="1:4" ht="14.25" customHeight="1" x14ac:dyDescent="0.35">
      <c r="A966" s="18"/>
      <c r="D966" s="19"/>
    </row>
    <row r="967" spans="1:4" ht="14.25" customHeight="1" x14ac:dyDescent="0.35">
      <c r="A967" s="18"/>
      <c r="D967" s="19"/>
    </row>
    <row r="968" spans="1:4" ht="14.25" customHeight="1" x14ac:dyDescent="0.35">
      <c r="A968" s="18"/>
      <c r="D968" s="19"/>
    </row>
    <row r="969" spans="1:4" ht="14.25" customHeight="1" x14ac:dyDescent="0.35">
      <c r="A969" s="18"/>
      <c r="D969" s="19"/>
    </row>
    <row r="970" spans="1:4" ht="14.25" customHeight="1" x14ac:dyDescent="0.35">
      <c r="A970" s="18"/>
      <c r="D970" s="19"/>
    </row>
    <row r="971" spans="1:4" ht="14.25" customHeight="1" x14ac:dyDescent="0.35">
      <c r="A971" s="18"/>
      <c r="D971" s="19"/>
    </row>
    <row r="972" spans="1:4" ht="14.25" customHeight="1" x14ac:dyDescent="0.35">
      <c r="A972" s="18"/>
      <c r="D972" s="19"/>
    </row>
    <row r="973" spans="1:4" ht="14.25" customHeight="1" x14ac:dyDescent="0.35">
      <c r="A973" s="18"/>
      <c r="D973" s="19"/>
    </row>
    <row r="974" spans="1:4" ht="14.25" customHeight="1" x14ac:dyDescent="0.35">
      <c r="A974" s="18"/>
      <c r="D974" s="19"/>
    </row>
    <row r="975" spans="1:4" ht="14.25" customHeight="1" x14ac:dyDescent="0.35">
      <c r="A975" s="18"/>
      <c r="D975" s="19"/>
    </row>
    <row r="976" spans="1:4" ht="14.25" customHeight="1" x14ac:dyDescent="0.35">
      <c r="A976" s="18"/>
      <c r="D976" s="19"/>
    </row>
    <row r="977" spans="1:4" ht="14.25" customHeight="1" x14ac:dyDescent="0.35">
      <c r="A977" s="18"/>
      <c r="D977" s="19"/>
    </row>
    <row r="978" spans="1:4" ht="14.25" customHeight="1" x14ac:dyDescent="0.35">
      <c r="A978" s="18"/>
      <c r="D978" s="19"/>
    </row>
    <row r="979" spans="1:4" ht="14.25" customHeight="1" x14ac:dyDescent="0.35">
      <c r="A979" s="18"/>
      <c r="D979" s="19"/>
    </row>
    <row r="980" spans="1:4" ht="14.25" customHeight="1" x14ac:dyDescent="0.35">
      <c r="A980" s="18"/>
      <c r="D980" s="19"/>
    </row>
    <row r="981" spans="1:4" ht="14.25" customHeight="1" x14ac:dyDescent="0.35">
      <c r="A981" s="18"/>
      <c r="D981" s="19"/>
    </row>
    <row r="982" spans="1:4" ht="14.25" customHeight="1" x14ac:dyDescent="0.35">
      <c r="A982" s="18"/>
      <c r="D982" s="19"/>
    </row>
    <row r="983" spans="1:4" ht="14.25" customHeight="1" x14ac:dyDescent="0.35">
      <c r="A983" s="18"/>
      <c r="D983" s="19"/>
    </row>
    <row r="984" spans="1:4" ht="14.25" customHeight="1" x14ac:dyDescent="0.35">
      <c r="A984" s="18"/>
      <c r="D984" s="19"/>
    </row>
    <row r="985" spans="1:4" ht="14.25" customHeight="1" x14ac:dyDescent="0.35">
      <c r="A985" s="18"/>
      <c r="D985" s="19"/>
    </row>
    <row r="986" spans="1:4" ht="14.25" customHeight="1" x14ac:dyDescent="0.35">
      <c r="A986" s="18"/>
      <c r="D986" s="19"/>
    </row>
    <row r="987" spans="1:4" ht="14.25" customHeight="1" x14ac:dyDescent="0.35">
      <c r="A987" s="18"/>
      <c r="D987" s="19"/>
    </row>
    <row r="988" spans="1:4" ht="14.25" customHeight="1" x14ac:dyDescent="0.35">
      <c r="A988" s="18"/>
      <c r="D988" s="19"/>
    </row>
    <row r="989" spans="1:4" ht="14.25" customHeight="1" x14ac:dyDescent="0.35">
      <c r="A989" s="18"/>
      <c r="D989" s="19"/>
    </row>
    <row r="990" spans="1:4" ht="14.25" customHeight="1" x14ac:dyDescent="0.35">
      <c r="A990" s="18"/>
      <c r="D990" s="19"/>
    </row>
    <row r="991" spans="1:4" ht="14.25" customHeight="1" x14ac:dyDescent="0.35">
      <c r="A991" s="18"/>
      <c r="D991" s="19"/>
    </row>
    <row r="992" spans="1:4" ht="14.25" customHeight="1" x14ac:dyDescent="0.35">
      <c r="A992" s="18"/>
      <c r="D992" s="19"/>
    </row>
    <row r="993" spans="1:4" ht="14.25" customHeight="1" x14ac:dyDescent="0.35">
      <c r="A993" s="18"/>
      <c r="D993" s="19"/>
    </row>
    <row r="994" spans="1:4" ht="14.25" customHeight="1" x14ac:dyDescent="0.35">
      <c r="A994" s="18"/>
      <c r="D994" s="19"/>
    </row>
    <row r="995" spans="1:4" ht="14.25" customHeight="1" x14ac:dyDescent="0.35">
      <c r="A995" s="18"/>
      <c r="D995" s="19"/>
    </row>
    <row r="996" spans="1:4" ht="14.25" customHeight="1" x14ac:dyDescent="0.35">
      <c r="A996" s="18"/>
      <c r="D996" s="19"/>
    </row>
    <row r="997" spans="1:4" ht="14.25" customHeight="1" x14ac:dyDescent="0.35">
      <c r="A997" s="18"/>
      <c r="D997" s="19"/>
    </row>
    <row r="998" spans="1:4" ht="14.25" customHeight="1" x14ac:dyDescent="0.35">
      <c r="A998" s="18"/>
      <c r="D998" s="19"/>
    </row>
    <row r="999" spans="1:4" ht="14.25" customHeight="1" x14ac:dyDescent="0.35">
      <c r="A999" s="18"/>
      <c r="D999" s="19"/>
    </row>
    <row r="1000" spans="1:4" ht="14.25" customHeight="1" x14ac:dyDescent="0.35">
      <c r="A1000" s="18"/>
      <c r="D1000" s="19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zoomScale="68" workbookViewId="0">
      <selection activeCell="C2" sqref="C2"/>
    </sheetView>
  </sheetViews>
  <sheetFormatPr defaultColWidth="14.453125" defaultRowHeight="15" customHeight="1" x14ac:dyDescent="0.35"/>
  <cols>
    <col min="1" max="1" width="12.81640625" customWidth="1"/>
    <col min="2" max="2" width="14.7265625" customWidth="1"/>
    <col min="3" max="3" width="12.453125" customWidth="1"/>
    <col min="4" max="4" width="15" customWidth="1"/>
    <col min="5" max="5" width="8.26953125" customWidth="1"/>
    <col min="6" max="6" width="14.81640625" customWidth="1"/>
    <col min="7" max="26" width="8.7265625" customWidth="1"/>
  </cols>
  <sheetData>
    <row r="1" spans="1:7" ht="1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8" customHeight="1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18" customHeight="1" x14ac:dyDescent="0.35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18" customHeight="1" x14ac:dyDescent="0.3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</row>
    <row r="6" spans="1:7" ht="18" customHeight="1" x14ac:dyDescent="0.35">
      <c r="A6" s="2" t="s">
        <v>32</v>
      </c>
      <c r="B6" s="2" t="s">
        <v>33</v>
      </c>
      <c r="C6" s="2" t="s">
        <v>9</v>
      </c>
      <c r="D6" s="2" t="s">
        <v>34</v>
      </c>
      <c r="E6" s="2" t="s">
        <v>35</v>
      </c>
      <c r="F6" s="2" t="s">
        <v>36</v>
      </c>
      <c r="G6" s="2" t="s">
        <v>13</v>
      </c>
    </row>
    <row r="7" spans="1:7" ht="18" customHeight="1" x14ac:dyDescent="0.35">
      <c r="A7" s="2" t="s">
        <v>37</v>
      </c>
      <c r="B7" s="2" t="s">
        <v>38</v>
      </c>
      <c r="C7" s="2" t="s">
        <v>9</v>
      </c>
      <c r="D7" s="2" t="s">
        <v>10</v>
      </c>
      <c r="E7" s="2" t="s">
        <v>18</v>
      </c>
      <c r="F7" s="2" t="s">
        <v>39</v>
      </c>
      <c r="G7" s="2" t="s">
        <v>13</v>
      </c>
    </row>
    <row r="8" spans="1:7" ht="18" customHeight="1" x14ac:dyDescent="0.35">
      <c r="A8" s="2" t="s">
        <v>40</v>
      </c>
      <c r="B8" s="2" t="s">
        <v>41</v>
      </c>
      <c r="C8" s="2" t="s">
        <v>16</v>
      </c>
      <c r="D8" s="2" t="s">
        <v>42</v>
      </c>
      <c r="E8" s="2" t="s">
        <v>11</v>
      </c>
      <c r="F8" s="2" t="s">
        <v>43</v>
      </c>
      <c r="G8" s="2" t="s">
        <v>13</v>
      </c>
    </row>
    <row r="9" spans="1:7" ht="18" customHeight="1" x14ac:dyDescent="0.35">
      <c r="A9" s="2" t="s">
        <v>44</v>
      </c>
      <c r="B9" s="2" t="s">
        <v>45</v>
      </c>
      <c r="C9" s="2" t="s">
        <v>9</v>
      </c>
      <c r="D9" s="2" t="s">
        <v>46</v>
      </c>
      <c r="E9" s="2" t="s">
        <v>23</v>
      </c>
      <c r="F9" s="2" t="s">
        <v>47</v>
      </c>
      <c r="G9" s="2" t="s">
        <v>25</v>
      </c>
    </row>
    <row r="10" spans="1:7" ht="18" customHeight="1" x14ac:dyDescent="0.35">
      <c r="A10" s="3"/>
      <c r="B10" s="3"/>
      <c r="C10" s="3"/>
      <c r="D10" s="3"/>
      <c r="E10" s="3"/>
      <c r="F10" s="3"/>
      <c r="G10" s="3"/>
    </row>
    <row r="11" spans="1:7" ht="18" customHeight="1" x14ac:dyDescent="0.35">
      <c r="A11" s="3"/>
      <c r="B11" s="3"/>
      <c r="C11" s="3"/>
      <c r="D11" s="3"/>
      <c r="E11" s="3"/>
      <c r="F11" s="3"/>
      <c r="G11" s="3"/>
    </row>
    <row r="12" spans="1:7" ht="18" customHeight="1" x14ac:dyDescent="0.35">
      <c r="A12" s="3"/>
      <c r="B12" s="3"/>
      <c r="C12" s="3"/>
      <c r="D12" s="3"/>
      <c r="E12" s="3"/>
      <c r="F12" s="3"/>
      <c r="G12" s="3"/>
    </row>
    <row r="13" spans="1:7" ht="18" customHeight="1" x14ac:dyDescent="0.35">
      <c r="A13" s="3"/>
      <c r="B13" s="3"/>
      <c r="C13" s="3"/>
      <c r="D13" s="3"/>
      <c r="E13" s="3"/>
      <c r="F13" s="3"/>
      <c r="G13" s="3"/>
    </row>
    <row r="14" spans="1:7" ht="18" customHeight="1" x14ac:dyDescent="0.35">
      <c r="A14" s="3"/>
      <c r="B14" s="3"/>
      <c r="C14" s="3"/>
      <c r="D14" s="3"/>
      <c r="E14" s="3"/>
      <c r="F14" s="3"/>
      <c r="G14" s="3"/>
    </row>
    <row r="15" spans="1:7" ht="18" customHeight="1" x14ac:dyDescent="0.35">
      <c r="A15" s="3"/>
      <c r="B15" s="3"/>
      <c r="C15" s="3"/>
      <c r="D15" s="3"/>
      <c r="E15" s="3"/>
      <c r="F15" s="3"/>
      <c r="G15" s="3"/>
    </row>
    <row r="16" spans="1:7" ht="18" customHeight="1" x14ac:dyDescent="0.35">
      <c r="A16" s="3"/>
      <c r="B16" s="3"/>
      <c r="C16" s="3"/>
      <c r="D16" s="3"/>
      <c r="E16" s="3"/>
      <c r="F16" s="3"/>
      <c r="G16" s="3"/>
    </row>
    <row r="17" spans="1:7" ht="18" customHeight="1" x14ac:dyDescent="0.35">
      <c r="A17" s="3"/>
      <c r="B17" s="3"/>
      <c r="C17" s="3"/>
      <c r="D17" s="3"/>
      <c r="E17" s="3"/>
      <c r="F17" s="3"/>
      <c r="G17" s="3"/>
    </row>
    <row r="18" spans="1:7" ht="18" customHeight="1" x14ac:dyDescent="0.35">
      <c r="A18" s="3"/>
      <c r="B18" s="3"/>
      <c r="C18" s="3"/>
      <c r="D18" s="3"/>
      <c r="E18" s="3"/>
      <c r="F18" s="3"/>
      <c r="G18" s="3"/>
    </row>
    <row r="19" spans="1:7" ht="18" customHeight="1" x14ac:dyDescent="0.35">
      <c r="A19" s="3"/>
      <c r="B19" s="3"/>
      <c r="C19" s="3"/>
      <c r="D19" s="3"/>
      <c r="E19" s="3"/>
      <c r="F19" s="3"/>
      <c r="G19" s="3"/>
    </row>
    <row r="20" spans="1:7" ht="18" customHeight="1" x14ac:dyDescent="0.35">
      <c r="A20" s="3"/>
      <c r="B20" s="3"/>
      <c r="C20" s="3"/>
      <c r="D20" s="3"/>
      <c r="E20" s="3"/>
      <c r="F20" s="3"/>
      <c r="G20" s="3"/>
    </row>
    <row r="21" spans="1:7" ht="18" customHeight="1" x14ac:dyDescent="0.35">
      <c r="A21" s="3"/>
      <c r="B21" s="3"/>
      <c r="C21" s="3"/>
      <c r="D21" s="3"/>
      <c r="E21" s="3"/>
      <c r="F21" s="3"/>
      <c r="G21" s="3"/>
    </row>
    <row r="22" spans="1:7" ht="18" customHeight="1" x14ac:dyDescent="0.35">
      <c r="A22" s="3"/>
      <c r="B22" s="3"/>
      <c r="C22" s="3"/>
      <c r="D22" s="3"/>
      <c r="E22" s="3"/>
      <c r="F22" s="3"/>
      <c r="G22" s="3"/>
    </row>
    <row r="23" spans="1:7" ht="18" customHeight="1" x14ac:dyDescent="0.35">
      <c r="A23" s="3"/>
      <c r="B23" s="3"/>
      <c r="C23" s="3"/>
      <c r="D23" s="3"/>
      <c r="E23" s="3"/>
      <c r="F23" s="3"/>
      <c r="G23" s="3"/>
    </row>
    <row r="24" spans="1:7" ht="18" customHeight="1" x14ac:dyDescent="0.35">
      <c r="A24" s="3"/>
      <c r="B24" s="3"/>
      <c r="C24" s="3"/>
      <c r="D24" s="3"/>
      <c r="E24" s="3"/>
      <c r="F24" s="3"/>
      <c r="G24" s="3"/>
    </row>
    <row r="25" spans="1:7" ht="18" customHeight="1" x14ac:dyDescent="0.35">
      <c r="A25" s="3"/>
      <c r="B25" s="3"/>
      <c r="C25" s="3"/>
      <c r="D25" s="3"/>
      <c r="E25" s="3"/>
      <c r="F25" s="3"/>
      <c r="G25" s="3"/>
    </row>
    <row r="26" spans="1:7" ht="18" customHeight="1" x14ac:dyDescent="0.35">
      <c r="A26" s="3"/>
      <c r="B26" s="3"/>
      <c r="C26" s="3"/>
      <c r="D26" s="3"/>
      <c r="E26" s="3"/>
      <c r="F26" s="3"/>
      <c r="G26" s="3"/>
    </row>
    <row r="27" spans="1:7" ht="18" customHeight="1" x14ac:dyDescent="0.35">
      <c r="A27" s="3"/>
      <c r="B27" s="3"/>
      <c r="C27" s="3"/>
      <c r="D27" s="3"/>
      <c r="E27" s="3"/>
      <c r="F27" s="3"/>
      <c r="G27" s="3"/>
    </row>
    <row r="28" spans="1:7" ht="18" customHeight="1" x14ac:dyDescent="0.35">
      <c r="A28" s="3"/>
      <c r="B28" s="3"/>
      <c r="C28" s="3"/>
      <c r="D28" s="3"/>
      <c r="E28" s="3"/>
      <c r="F28" s="3"/>
      <c r="G28" s="3"/>
    </row>
    <row r="29" spans="1:7" ht="18" customHeight="1" x14ac:dyDescent="0.35">
      <c r="A29" s="3"/>
      <c r="B29" s="3"/>
      <c r="C29" s="3"/>
      <c r="D29" s="3"/>
      <c r="E29" s="3"/>
      <c r="F29" s="3"/>
      <c r="G29" s="3"/>
    </row>
    <row r="30" spans="1:7" ht="18" customHeight="1" x14ac:dyDescent="0.35">
      <c r="A30" s="3"/>
      <c r="B30" s="3"/>
      <c r="C30" s="3"/>
      <c r="D30" s="3"/>
      <c r="E30" s="3"/>
      <c r="F30" s="3"/>
      <c r="G30" s="3"/>
    </row>
    <row r="31" spans="1:7" ht="18" customHeight="1" x14ac:dyDescent="0.35">
      <c r="A31" s="3"/>
      <c r="B31" s="3"/>
      <c r="C31" s="3"/>
      <c r="D31" s="3"/>
      <c r="E31" s="3"/>
      <c r="F31" s="3"/>
      <c r="G31" s="3"/>
    </row>
    <row r="32" spans="1:7" ht="18" customHeight="1" x14ac:dyDescent="0.35">
      <c r="A32" s="3"/>
      <c r="B32" s="3"/>
      <c r="C32" s="3"/>
      <c r="D32" s="3"/>
      <c r="E32" s="3"/>
      <c r="F32" s="3"/>
      <c r="G32" s="3"/>
    </row>
    <row r="33" spans="1:7" ht="18" customHeight="1" x14ac:dyDescent="0.35">
      <c r="A33" s="3"/>
      <c r="B33" s="3"/>
      <c r="C33" s="3"/>
      <c r="D33" s="3"/>
      <c r="E33" s="3"/>
      <c r="F33" s="3"/>
      <c r="G33" s="3"/>
    </row>
    <row r="34" spans="1:7" ht="18" customHeight="1" x14ac:dyDescent="0.35">
      <c r="A34" s="3"/>
      <c r="B34" s="3"/>
      <c r="C34" s="3"/>
      <c r="D34" s="3"/>
      <c r="E34" s="3"/>
      <c r="F34" s="3"/>
      <c r="G34" s="3"/>
    </row>
    <row r="35" spans="1:7" ht="18" customHeight="1" x14ac:dyDescent="0.35">
      <c r="A35" s="3"/>
      <c r="B35" s="3"/>
      <c r="C35" s="3"/>
      <c r="D35" s="3"/>
      <c r="E35" s="3"/>
      <c r="F35" s="3"/>
      <c r="G35" s="3"/>
    </row>
    <row r="36" spans="1:7" ht="18" customHeight="1" x14ac:dyDescent="0.35">
      <c r="A36" s="3"/>
      <c r="B36" s="3"/>
      <c r="C36" s="3"/>
      <c r="D36" s="3"/>
      <c r="E36" s="3"/>
      <c r="F36" s="3"/>
      <c r="G36" s="3"/>
    </row>
    <row r="37" spans="1:7" ht="18" customHeight="1" x14ac:dyDescent="0.35">
      <c r="A37" s="3"/>
      <c r="B37" s="3"/>
      <c r="C37" s="3"/>
      <c r="D37" s="3"/>
      <c r="E37" s="3"/>
      <c r="F37" s="3"/>
      <c r="G37" s="3"/>
    </row>
    <row r="38" spans="1:7" ht="18" customHeight="1" x14ac:dyDescent="0.35">
      <c r="A38" s="3"/>
      <c r="B38" s="3"/>
      <c r="C38" s="3"/>
      <c r="D38" s="3"/>
      <c r="E38" s="3"/>
      <c r="F38" s="3"/>
      <c r="G38" s="3"/>
    </row>
    <row r="39" spans="1:7" ht="18" customHeight="1" x14ac:dyDescent="0.35">
      <c r="A39" s="3"/>
      <c r="B39" s="3"/>
      <c r="C39" s="3"/>
      <c r="D39" s="3"/>
      <c r="E39" s="3"/>
      <c r="F39" s="3"/>
      <c r="G39" s="3"/>
    </row>
    <row r="40" spans="1:7" ht="18" customHeight="1" x14ac:dyDescent="0.35">
      <c r="A40" s="3"/>
      <c r="B40" s="3"/>
      <c r="C40" s="3"/>
      <c r="D40" s="3"/>
      <c r="E40" s="3"/>
      <c r="F40" s="3"/>
      <c r="G40" s="3"/>
    </row>
    <row r="41" spans="1:7" ht="18" customHeight="1" x14ac:dyDescent="0.35">
      <c r="A41" s="3"/>
      <c r="B41" s="3"/>
      <c r="C41" s="3"/>
      <c r="D41" s="3"/>
      <c r="E41" s="3"/>
      <c r="F41" s="3"/>
      <c r="G41" s="3"/>
    </row>
    <row r="42" spans="1:7" ht="18" customHeight="1" x14ac:dyDescent="0.35">
      <c r="A42" s="3"/>
      <c r="B42" s="3"/>
      <c r="C42" s="3"/>
      <c r="D42" s="3"/>
      <c r="E42" s="3"/>
      <c r="F42" s="3"/>
      <c r="G42" s="3"/>
    </row>
    <row r="43" spans="1:7" ht="18" customHeight="1" x14ac:dyDescent="0.35">
      <c r="A43" s="3"/>
      <c r="B43" s="3"/>
      <c r="C43" s="3"/>
      <c r="D43" s="3"/>
      <c r="E43" s="3"/>
      <c r="F43" s="3"/>
      <c r="G43" s="3"/>
    </row>
    <row r="44" spans="1:7" ht="18" customHeight="1" x14ac:dyDescent="0.35">
      <c r="A44" s="3"/>
      <c r="B44" s="3"/>
      <c r="C44" s="3"/>
      <c r="D44" s="3"/>
      <c r="E44" s="3"/>
      <c r="F44" s="3"/>
      <c r="G44" s="3"/>
    </row>
    <row r="45" spans="1:7" ht="18" customHeight="1" x14ac:dyDescent="0.35">
      <c r="A45" s="3"/>
      <c r="B45" s="3"/>
      <c r="C45" s="3"/>
      <c r="D45" s="3"/>
      <c r="E45" s="3"/>
      <c r="F45" s="3"/>
      <c r="G45" s="3"/>
    </row>
    <row r="46" spans="1:7" ht="18" customHeight="1" x14ac:dyDescent="0.35">
      <c r="A46" s="3"/>
      <c r="B46" s="3"/>
      <c r="C46" s="3"/>
      <c r="D46" s="3"/>
      <c r="E46" s="3"/>
      <c r="F46" s="3"/>
      <c r="G46" s="3"/>
    </row>
    <row r="47" spans="1:7" ht="18" customHeight="1" x14ac:dyDescent="0.35">
      <c r="A47" s="3"/>
      <c r="B47" s="3"/>
      <c r="C47" s="3"/>
      <c r="D47" s="3"/>
      <c r="E47" s="3"/>
      <c r="F47" s="3"/>
      <c r="G47" s="3"/>
    </row>
    <row r="48" spans="1:7" ht="18" customHeight="1" x14ac:dyDescent="0.35">
      <c r="A48" s="3"/>
      <c r="B48" s="3"/>
      <c r="C48" s="3"/>
      <c r="D48" s="3"/>
      <c r="E48" s="3"/>
      <c r="F48" s="3"/>
      <c r="G48" s="3"/>
    </row>
    <row r="49" spans="1:7" ht="18" customHeight="1" x14ac:dyDescent="0.35">
      <c r="A49" s="3"/>
      <c r="B49" s="3"/>
      <c r="C49" s="3"/>
      <c r="D49" s="3"/>
      <c r="E49" s="3"/>
      <c r="F49" s="3"/>
      <c r="G49" s="3"/>
    </row>
    <row r="50" spans="1:7" ht="18" customHeight="1" x14ac:dyDescent="0.35">
      <c r="A50" s="3"/>
      <c r="B50" s="3"/>
      <c r="C50" s="3"/>
      <c r="D50" s="3"/>
      <c r="E50" s="3"/>
      <c r="F50" s="3"/>
      <c r="G50" s="3"/>
    </row>
    <row r="51" spans="1:7" ht="18" customHeight="1" x14ac:dyDescent="0.35">
      <c r="A51" s="3"/>
      <c r="B51" s="3"/>
      <c r="C51" s="3"/>
      <c r="D51" s="3"/>
      <c r="E51" s="3"/>
      <c r="F51" s="3"/>
      <c r="G51" s="3"/>
    </row>
    <row r="52" spans="1:7" ht="18" customHeight="1" x14ac:dyDescent="0.35">
      <c r="A52" s="3"/>
      <c r="B52" s="3"/>
      <c r="C52" s="3"/>
      <c r="D52" s="3"/>
      <c r="E52" s="3"/>
      <c r="F52" s="3"/>
      <c r="G52" s="3"/>
    </row>
    <row r="53" spans="1:7" ht="18" customHeight="1" x14ac:dyDescent="0.35">
      <c r="A53" s="3"/>
      <c r="B53" s="3"/>
      <c r="C53" s="3"/>
      <c r="D53" s="3"/>
      <c r="E53" s="3"/>
      <c r="F53" s="3"/>
      <c r="G53" s="3"/>
    </row>
    <row r="54" spans="1:7" ht="18" customHeight="1" x14ac:dyDescent="0.35">
      <c r="A54" s="3"/>
      <c r="B54" s="3"/>
      <c r="C54" s="3"/>
      <c r="D54" s="3"/>
      <c r="E54" s="3"/>
      <c r="F54" s="3"/>
      <c r="G54" s="3"/>
    </row>
    <row r="55" spans="1:7" ht="18" customHeight="1" x14ac:dyDescent="0.35">
      <c r="A55" s="3"/>
      <c r="B55" s="3"/>
      <c r="C55" s="3"/>
      <c r="D55" s="3"/>
      <c r="E55" s="3"/>
      <c r="F55" s="3"/>
      <c r="G55" s="3"/>
    </row>
    <row r="56" spans="1:7" ht="18" customHeight="1" x14ac:dyDescent="0.35">
      <c r="A56" s="3"/>
      <c r="B56" s="3"/>
      <c r="C56" s="3"/>
      <c r="D56" s="3"/>
      <c r="E56" s="3"/>
      <c r="F56" s="3"/>
      <c r="G56" s="3"/>
    </row>
    <row r="57" spans="1:7" ht="18" customHeight="1" x14ac:dyDescent="0.35">
      <c r="A57" s="3"/>
      <c r="B57" s="3"/>
      <c r="C57" s="3"/>
      <c r="D57" s="3"/>
      <c r="E57" s="3"/>
      <c r="F57" s="3"/>
      <c r="G57" s="3"/>
    </row>
    <row r="58" spans="1:7" ht="18" customHeight="1" x14ac:dyDescent="0.35">
      <c r="A58" s="3"/>
      <c r="B58" s="3"/>
      <c r="C58" s="3"/>
      <c r="D58" s="3"/>
      <c r="E58" s="3"/>
      <c r="F58" s="3"/>
      <c r="G58" s="3"/>
    </row>
    <row r="59" spans="1:7" ht="18" customHeight="1" x14ac:dyDescent="0.35">
      <c r="A59" s="3"/>
      <c r="B59" s="3"/>
      <c r="C59" s="3"/>
      <c r="D59" s="3"/>
      <c r="E59" s="3"/>
      <c r="F59" s="3"/>
      <c r="G59" s="3"/>
    </row>
    <row r="60" spans="1:7" ht="18" customHeight="1" x14ac:dyDescent="0.35">
      <c r="A60" s="3"/>
      <c r="B60" s="3"/>
      <c r="C60" s="3"/>
      <c r="D60" s="3"/>
      <c r="E60" s="3"/>
      <c r="F60" s="3"/>
      <c r="G60" s="3"/>
    </row>
    <row r="61" spans="1:7" ht="18" customHeight="1" x14ac:dyDescent="0.35">
      <c r="A61" s="3"/>
      <c r="B61" s="3"/>
      <c r="C61" s="3"/>
      <c r="D61" s="3"/>
      <c r="E61" s="3"/>
      <c r="F61" s="3"/>
      <c r="G61" s="3"/>
    </row>
    <row r="62" spans="1:7" ht="18" customHeight="1" x14ac:dyDescent="0.35">
      <c r="A62" s="3"/>
      <c r="B62" s="3"/>
      <c r="C62" s="3"/>
      <c r="D62" s="3"/>
      <c r="E62" s="3"/>
      <c r="F62" s="3"/>
      <c r="G62" s="3"/>
    </row>
    <row r="63" spans="1:7" ht="18" customHeight="1" x14ac:dyDescent="0.35">
      <c r="A63" s="3"/>
      <c r="B63" s="3"/>
      <c r="C63" s="3"/>
      <c r="D63" s="3"/>
      <c r="E63" s="3"/>
      <c r="F63" s="3"/>
      <c r="G63" s="3"/>
    </row>
    <row r="64" spans="1:7" ht="18" customHeight="1" x14ac:dyDescent="0.35">
      <c r="A64" s="3"/>
      <c r="B64" s="3"/>
      <c r="C64" s="3"/>
      <c r="D64" s="3"/>
      <c r="E64" s="3"/>
      <c r="F64" s="3"/>
      <c r="G64" s="3"/>
    </row>
    <row r="65" spans="1:7" ht="18" customHeight="1" x14ac:dyDescent="0.35">
      <c r="A65" s="3"/>
      <c r="B65" s="3"/>
      <c r="C65" s="3"/>
      <c r="D65" s="3"/>
      <c r="E65" s="3"/>
      <c r="F65" s="3"/>
      <c r="G65" s="3"/>
    </row>
    <row r="66" spans="1:7" ht="18" customHeight="1" x14ac:dyDescent="0.35">
      <c r="A66" s="3"/>
      <c r="B66" s="3"/>
      <c r="C66" s="3"/>
      <c r="D66" s="3"/>
      <c r="E66" s="3"/>
      <c r="F66" s="3"/>
      <c r="G66" s="3"/>
    </row>
    <row r="67" spans="1:7" ht="18" customHeight="1" x14ac:dyDescent="0.35">
      <c r="A67" s="3"/>
      <c r="B67" s="3"/>
      <c r="C67" s="3"/>
      <c r="D67" s="3"/>
      <c r="E67" s="3"/>
      <c r="F67" s="3"/>
      <c r="G67" s="3"/>
    </row>
    <row r="68" spans="1:7" ht="18" customHeight="1" x14ac:dyDescent="0.35">
      <c r="A68" s="3"/>
      <c r="B68" s="3"/>
      <c r="C68" s="3"/>
      <c r="D68" s="3"/>
      <c r="E68" s="3"/>
      <c r="F68" s="3"/>
      <c r="G68" s="3"/>
    </row>
    <row r="69" spans="1:7" ht="18" customHeight="1" x14ac:dyDescent="0.35">
      <c r="A69" s="3"/>
      <c r="B69" s="3"/>
      <c r="C69" s="3"/>
      <c r="D69" s="3"/>
      <c r="E69" s="3"/>
      <c r="F69" s="3"/>
      <c r="G69" s="3"/>
    </row>
    <row r="70" spans="1:7" ht="18" customHeight="1" x14ac:dyDescent="0.35">
      <c r="A70" s="3"/>
      <c r="B70" s="3"/>
      <c r="C70" s="3"/>
      <c r="D70" s="3"/>
      <c r="E70" s="3"/>
      <c r="F70" s="3"/>
      <c r="G70" s="3"/>
    </row>
    <row r="71" spans="1:7" ht="18" customHeight="1" x14ac:dyDescent="0.35">
      <c r="A71" s="3"/>
      <c r="B71" s="3"/>
      <c r="C71" s="3"/>
      <c r="D71" s="3"/>
      <c r="E71" s="3"/>
      <c r="F71" s="3"/>
      <c r="G71" s="3"/>
    </row>
    <row r="72" spans="1:7" ht="18" customHeight="1" x14ac:dyDescent="0.35">
      <c r="A72" s="3"/>
      <c r="B72" s="3"/>
      <c r="C72" s="3"/>
      <c r="D72" s="3"/>
      <c r="E72" s="3"/>
      <c r="F72" s="3"/>
      <c r="G72" s="3"/>
    </row>
    <row r="73" spans="1:7" ht="18" customHeight="1" x14ac:dyDescent="0.35">
      <c r="A73" s="3"/>
      <c r="B73" s="3"/>
      <c r="C73" s="3"/>
      <c r="D73" s="3"/>
      <c r="E73" s="3"/>
      <c r="F73" s="3"/>
      <c r="G73" s="3"/>
    </row>
    <row r="74" spans="1:7" ht="18" customHeight="1" x14ac:dyDescent="0.35">
      <c r="A74" s="3"/>
      <c r="B74" s="3"/>
      <c r="C74" s="3"/>
      <c r="D74" s="3"/>
      <c r="E74" s="3"/>
      <c r="F74" s="3"/>
      <c r="G74" s="3"/>
    </row>
    <row r="75" spans="1:7" ht="18" customHeight="1" x14ac:dyDescent="0.35">
      <c r="A75" s="3"/>
      <c r="B75" s="3"/>
      <c r="C75" s="3"/>
      <c r="D75" s="3"/>
      <c r="E75" s="3"/>
      <c r="F75" s="3"/>
      <c r="G75" s="3"/>
    </row>
    <row r="76" spans="1:7" ht="18" customHeight="1" x14ac:dyDescent="0.35">
      <c r="A76" s="3"/>
      <c r="B76" s="3"/>
      <c r="C76" s="3"/>
      <c r="D76" s="3"/>
      <c r="E76" s="3"/>
      <c r="F76" s="3"/>
      <c r="G76" s="3"/>
    </row>
    <row r="77" spans="1:7" ht="18" customHeight="1" x14ac:dyDescent="0.35">
      <c r="A77" s="3"/>
      <c r="B77" s="3"/>
      <c r="C77" s="3"/>
      <c r="D77" s="3"/>
      <c r="E77" s="3"/>
      <c r="F77" s="3"/>
      <c r="G77" s="3"/>
    </row>
    <row r="78" spans="1:7" ht="18" customHeight="1" x14ac:dyDescent="0.35">
      <c r="A78" s="3"/>
      <c r="B78" s="3"/>
      <c r="C78" s="3"/>
      <c r="D78" s="3"/>
      <c r="E78" s="3"/>
      <c r="F78" s="3"/>
      <c r="G78" s="3"/>
    </row>
    <row r="79" spans="1:7" ht="18" customHeight="1" x14ac:dyDescent="0.35">
      <c r="A79" s="3"/>
      <c r="B79" s="3"/>
      <c r="C79" s="3"/>
      <c r="D79" s="3"/>
      <c r="E79" s="3"/>
      <c r="F79" s="3"/>
      <c r="G79" s="3"/>
    </row>
    <row r="80" spans="1:7" ht="18" customHeight="1" x14ac:dyDescent="0.35">
      <c r="A80" s="3"/>
      <c r="B80" s="3"/>
      <c r="C80" s="3"/>
      <c r="D80" s="3"/>
      <c r="E80" s="3"/>
      <c r="F80" s="3"/>
      <c r="G80" s="3"/>
    </row>
    <row r="81" spans="1:7" ht="18" customHeight="1" x14ac:dyDescent="0.35">
      <c r="A81" s="3"/>
      <c r="B81" s="3"/>
      <c r="C81" s="3"/>
      <c r="D81" s="3"/>
      <c r="E81" s="3"/>
      <c r="F81" s="3"/>
      <c r="G81" s="3"/>
    </row>
    <row r="82" spans="1:7" ht="18" customHeight="1" x14ac:dyDescent="0.35">
      <c r="A82" s="3"/>
      <c r="B82" s="3"/>
      <c r="C82" s="3"/>
      <c r="D82" s="3"/>
      <c r="E82" s="3"/>
      <c r="F82" s="3"/>
      <c r="G82" s="3"/>
    </row>
    <row r="83" spans="1:7" ht="18" customHeight="1" x14ac:dyDescent="0.35">
      <c r="A83" s="3"/>
      <c r="B83" s="3"/>
      <c r="C83" s="3"/>
      <c r="D83" s="3"/>
      <c r="E83" s="3"/>
      <c r="F83" s="3"/>
      <c r="G83" s="3"/>
    </row>
    <row r="84" spans="1:7" ht="18" customHeight="1" x14ac:dyDescent="0.35">
      <c r="A84" s="3"/>
      <c r="B84" s="3"/>
      <c r="C84" s="3"/>
      <c r="D84" s="3"/>
      <c r="E84" s="3"/>
      <c r="F84" s="3"/>
      <c r="G84" s="3"/>
    </row>
    <row r="85" spans="1:7" ht="18" customHeight="1" x14ac:dyDescent="0.35">
      <c r="A85" s="3"/>
      <c r="B85" s="3"/>
      <c r="C85" s="3"/>
      <c r="D85" s="3"/>
      <c r="E85" s="3"/>
      <c r="F85" s="3"/>
      <c r="G85" s="3"/>
    </row>
    <row r="86" spans="1:7" ht="18" customHeight="1" x14ac:dyDescent="0.35">
      <c r="A86" s="3"/>
      <c r="B86" s="3"/>
      <c r="C86" s="3"/>
      <c r="D86" s="3"/>
      <c r="E86" s="3"/>
      <c r="F86" s="3"/>
      <c r="G86" s="3"/>
    </row>
    <row r="87" spans="1:7" ht="18" customHeight="1" x14ac:dyDescent="0.35">
      <c r="A87" s="3"/>
      <c r="B87" s="3"/>
      <c r="C87" s="3"/>
      <c r="D87" s="3"/>
      <c r="E87" s="3"/>
      <c r="F87" s="3"/>
      <c r="G87" s="3"/>
    </row>
    <row r="88" spans="1:7" ht="18" customHeight="1" x14ac:dyDescent="0.35">
      <c r="A88" s="3"/>
      <c r="B88" s="3"/>
      <c r="C88" s="3"/>
      <c r="D88" s="3"/>
      <c r="E88" s="3"/>
      <c r="F88" s="3"/>
      <c r="G88" s="3"/>
    </row>
    <row r="89" spans="1:7" ht="18" customHeight="1" x14ac:dyDescent="0.35">
      <c r="A89" s="3"/>
      <c r="B89" s="3"/>
      <c r="C89" s="3"/>
      <c r="D89" s="3"/>
      <c r="E89" s="3"/>
      <c r="F89" s="3"/>
      <c r="G89" s="3"/>
    </row>
    <row r="90" spans="1:7" ht="18" customHeight="1" x14ac:dyDescent="0.35">
      <c r="A90" s="3"/>
      <c r="B90" s="3"/>
      <c r="C90" s="3"/>
      <c r="D90" s="3"/>
      <c r="E90" s="3"/>
      <c r="F90" s="3"/>
      <c r="G90" s="3"/>
    </row>
    <row r="91" spans="1:7" ht="18" customHeight="1" x14ac:dyDescent="0.35">
      <c r="A91" s="3"/>
      <c r="B91" s="3"/>
      <c r="C91" s="3"/>
      <c r="D91" s="3"/>
      <c r="E91" s="3"/>
      <c r="F91" s="3"/>
      <c r="G91" s="3"/>
    </row>
    <row r="92" spans="1:7" ht="18" customHeight="1" x14ac:dyDescent="0.35">
      <c r="A92" s="3"/>
      <c r="B92" s="3"/>
      <c r="C92" s="3"/>
      <c r="D92" s="3"/>
      <c r="E92" s="3"/>
      <c r="F92" s="3"/>
      <c r="G92" s="3"/>
    </row>
    <row r="93" spans="1:7" ht="18" customHeight="1" x14ac:dyDescent="0.35">
      <c r="A93" s="3"/>
      <c r="B93" s="3"/>
      <c r="C93" s="3"/>
      <c r="D93" s="3"/>
      <c r="E93" s="3"/>
      <c r="F93" s="3"/>
      <c r="G93" s="3"/>
    </row>
    <row r="94" spans="1:7" ht="18" customHeight="1" x14ac:dyDescent="0.35">
      <c r="A94" s="3"/>
      <c r="B94" s="3"/>
      <c r="C94" s="3"/>
      <c r="D94" s="3"/>
      <c r="E94" s="3"/>
      <c r="F94" s="3"/>
      <c r="G94" s="3"/>
    </row>
    <row r="95" spans="1:7" ht="18" customHeight="1" x14ac:dyDescent="0.35">
      <c r="A95" s="3"/>
      <c r="B95" s="3"/>
      <c r="C95" s="3"/>
      <c r="D95" s="3"/>
      <c r="E95" s="3"/>
      <c r="F95" s="3"/>
      <c r="G95" s="3"/>
    </row>
    <row r="96" spans="1:7" ht="18" customHeight="1" x14ac:dyDescent="0.35">
      <c r="A96" s="3"/>
      <c r="B96" s="3"/>
      <c r="C96" s="3"/>
      <c r="D96" s="3"/>
      <c r="E96" s="3"/>
      <c r="F96" s="3"/>
      <c r="G96" s="3"/>
    </row>
    <row r="97" spans="1:7" ht="18" customHeight="1" x14ac:dyDescent="0.35">
      <c r="A97" s="3"/>
      <c r="B97" s="3"/>
      <c r="C97" s="3"/>
      <c r="D97" s="3"/>
      <c r="E97" s="3"/>
      <c r="F97" s="3"/>
      <c r="G97" s="3"/>
    </row>
    <row r="98" spans="1:7" ht="18" customHeight="1" x14ac:dyDescent="0.35">
      <c r="A98" s="3"/>
      <c r="B98" s="3"/>
      <c r="C98" s="3"/>
      <c r="D98" s="3"/>
      <c r="E98" s="3"/>
      <c r="F98" s="3"/>
      <c r="G98" s="3"/>
    </row>
    <row r="99" spans="1:7" ht="18" customHeight="1" x14ac:dyDescent="0.35">
      <c r="A99" s="3"/>
      <c r="B99" s="3"/>
      <c r="C99" s="3"/>
      <c r="D99" s="3"/>
      <c r="E99" s="3"/>
      <c r="F99" s="3"/>
      <c r="G99" s="3"/>
    </row>
    <row r="100" spans="1:7" ht="18" customHeight="1" x14ac:dyDescent="0.35">
      <c r="A100" s="3"/>
      <c r="B100" s="3"/>
      <c r="C100" s="3"/>
      <c r="D100" s="3"/>
      <c r="E100" s="3"/>
      <c r="F100" s="3"/>
      <c r="G100" s="3"/>
    </row>
    <row r="101" spans="1:7" ht="18" customHeight="1" x14ac:dyDescent="0.35">
      <c r="A101" s="3"/>
      <c r="B101" s="3"/>
      <c r="C101" s="3"/>
      <c r="D101" s="3"/>
      <c r="E101" s="3"/>
      <c r="F101" s="3"/>
      <c r="G101" s="3"/>
    </row>
    <row r="102" spans="1:7" ht="18" customHeight="1" x14ac:dyDescent="0.35">
      <c r="A102" s="3"/>
      <c r="B102" s="3"/>
      <c r="C102" s="3"/>
      <c r="D102" s="3"/>
      <c r="E102" s="3"/>
      <c r="F102" s="3"/>
      <c r="G102" s="3"/>
    </row>
    <row r="103" spans="1:7" ht="18" customHeight="1" x14ac:dyDescent="0.35">
      <c r="A103" s="3"/>
      <c r="B103" s="3"/>
      <c r="C103" s="3"/>
      <c r="D103" s="3"/>
      <c r="E103" s="3"/>
      <c r="F103" s="3"/>
      <c r="G103" s="3"/>
    </row>
    <row r="104" spans="1:7" ht="18" customHeight="1" x14ac:dyDescent="0.35">
      <c r="A104" s="3"/>
      <c r="B104" s="3"/>
      <c r="C104" s="3"/>
      <c r="D104" s="3"/>
      <c r="E104" s="3"/>
      <c r="F104" s="3"/>
      <c r="G104" s="3"/>
    </row>
    <row r="105" spans="1:7" ht="18" customHeight="1" x14ac:dyDescent="0.35">
      <c r="A105" s="3"/>
      <c r="B105" s="3"/>
      <c r="C105" s="3"/>
      <c r="D105" s="3"/>
      <c r="E105" s="3"/>
      <c r="F105" s="3"/>
      <c r="G105" s="3"/>
    </row>
    <row r="106" spans="1:7" ht="18" customHeight="1" x14ac:dyDescent="0.35">
      <c r="A106" s="3"/>
      <c r="B106" s="3"/>
      <c r="C106" s="3"/>
      <c r="D106" s="3"/>
      <c r="E106" s="3"/>
      <c r="F106" s="3"/>
      <c r="G106" s="3"/>
    </row>
    <row r="107" spans="1:7" ht="18" customHeight="1" x14ac:dyDescent="0.35">
      <c r="A107" s="3"/>
      <c r="B107" s="3"/>
      <c r="C107" s="3"/>
      <c r="D107" s="3"/>
      <c r="E107" s="3"/>
      <c r="F107" s="3"/>
      <c r="G107" s="3"/>
    </row>
    <row r="108" spans="1:7" ht="18" customHeight="1" x14ac:dyDescent="0.35">
      <c r="A108" s="3"/>
      <c r="B108" s="3"/>
      <c r="C108" s="3"/>
      <c r="D108" s="3"/>
      <c r="E108" s="3"/>
      <c r="F108" s="3"/>
      <c r="G108" s="3"/>
    </row>
    <row r="109" spans="1:7" ht="18" customHeight="1" x14ac:dyDescent="0.35">
      <c r="A109" s="3"/>
      <c r="B109" s="3"/>
      <c r="C109" s="3"/>
      <c r="D109" s="3"/>
      <c r="E109" s="3"/>
      <c r="F109" s="3"/>
      <c r="G109" s="3"/>
    </row>
    <row r="110" spans="1:7" ht="18" customHeight="1" x14ac:dyDescent="0.35">
      <c r="A110" s="3"/>
      <c r="B110" s="3"/>
      <c r="C110" s="3"/>
      <c r="D110" s="3"/>
      <c r="E110" s="3"/>
      <c r="F110" s="3"/>
      <c r="G110" s="3"/>
    </row>
    <row r="111" spans="1:7" ht="18" customHeight="1" x14ac:dyDescent="0.35">
      <c r="A111" s="3"/>
      <c r="B111" s="3"/>
      <c r="C111" s="3"/>
      <c r="D111" s="3"/>
      <c r="E111" s="3"/>
      <c r="F111" s="3"/>
      <c r="G111" s="3"/>
    </row>
    <row r="112" spans="1:7" ht="18" customHeight="1" x14ac:dyDescent="0.35">
      <c r="A112" s="3"/>
      <c r="B112" s="3"/>
      <c r="C112" s="3"/>
      <c r="D112" s="3"/>
      <c r="E112" s="3"/>
      <c r="F112" s="3"/>
      <c r="G112" s="3"/>
    </row>
    <row r="113" spans="1:7" ht="18" customHeight="1" x14ac:dyDescent="0.35">
      <c r="A113" s="3"/>
      <c r="B113" s="3"/>
      <c r="C113" s="3"/>
      <c r="D113" s="3"/>
      <c r="E113" s="3"/>
      <c r="F113" s="3"/>
      <c r="G113" s="3"/>
    </row>
    <row r="114" spans="1:7" ht="18" customHeight="1" x14ac:dyDescent="0.35">
      <c r="A114" s="3"/>
      <c r="B114" s="3"/>
      <c r="C114" s="3"/>
      <c r="D114" s="3"/>
      <c r="E114" s="3"/>
      <c r="F114" s="3"/>
      <c r="G114" s="3"/>
    </row>
    <row r="115" spans="1:7" ht="18" customHeight="1" x14ac:dyDescent="0.35">
      <c r="A115" s="3"/>
      <c r="B115" s="3"/>
      <c r="C115" s="3"/>
      <c r="D115" s="3"/>
      <c r="E115" s="3"/>
      <c r="F115" s="3"/>
      <c r="G115" s="3"/>
    </row>
    <row r="116" spans="1:7" ht="18" customHeight="1" x14ac:dyDescent="0.35">
      <c r="A116" s="3"/>
      <c r="B116" s="3"/>
      <c r="C116" s="3"/>
      <c r="D116" s="3"/>
      <c r="E116" s="3"/>
      <c r="F116" s="3"/>
      <c r="G116" s="3"/>
    </row>
    <row r="117" spans="1:7" ht="18" customHeight="1" x14ac:dyDescent="0.35">
      <c r="A117" s="3"/>
      <c r="B117" s="3"/>
      <c r="C117" s="3"/>
      <c r="D117" s="3"/>
      <c r="E117" s="3"/>
      <c r="F117" s="3"/>
      <c r="G117" s="3"/>
    </row>
    <row r="118" spans="1:7" ht="18" customHeight="1" x14ac:dyDescent="0.35">
      <c r="A118" s="3"/>
      <c r="B118" s="3"/>
      <c r="C118" s="3"/>
      <c r="D118" s="3"/>
      <c r="E118" s="3"/>
      <c r="F118" s="3"/>
      <c r="G118" s="3"/>
    </row>
    <row r="119" spans="1:7" ht="18" customHeight="1" x14ac:dyDescent="0.35">
      <c r="A119" s="3"/>
      <c r="B119" s="3"/>
      <c r="C119" s="3"/>
      <c r="D119" s="3"/>
      <c r="E119" s="3"/>
      <c r="F119" s="3"/>
      <c r="G119" s="3"/>
    </row>
    <row r="120" spans="1:7" ht="18" customHeight="1" x14ac:dyDescent="0.35">
      <c r="A120" s="3"/>
      <c r="B120" s="3"/>
      <c r="C120" s="3"/>
      <c r="D120" s="3"/>
      <c r="E120" s="3"/>
      <c r="F120" s="3"/>
      <c r="G120" s="3"/>
    </row>
    <row r="121" spans="1:7" ht="18" customHeight="1" x14ac:dyDescent="0.35">
      <c r="A121" s="3"/>
      <c r="B121" s="3"/>
      <c r="C121" s="3"/>
      <c r="D121" s="3"/>
      <c r="E121" s="3"/>
      <c r="F121" s="3"/>
      <c r="G121" s="3"/>
    </row>
    <row r="122" spans="1:7" ht="18" customHeight="1" x14ac:dyDescent="0.35">
      <c r="A122" s="3"/>
      <c r="B122" s="3"/>
      <c r="C122" s="3"/>
      <c r="D122" s="3"/>
      <c r="E122" s="3"/>
      <c r="F122" s="3"/>
      <c r="G122" s="3"/>
    </row>
    <row r="123" spans="1:7" ht="18" customHeight="1" x14ac:dyDescent="0.35">
      <c r="A123" s="3"/>
      <c r="B123" s="3"/>
      <c r="C123" s="3"/>
      <c r="D123" s="3"/>
      <c r="E123" s="3"/>
      <c r="F123" s="3"/>
      <c r="G123" s="3"/>
    </row>
    <row r="124" spans="1:7" ht="18" customHeight="1" x14ac:dyDescent="0.35">
      <c r="A124" s="3"/>
      <c r="B124" s="3"/>
      <c r="C124" s="3"/>
      <c r="D124" s="3"/>
      <c r="E124" s="3"/>
      <c r="F124" s="3"/>
      <c r="G124" s="3"/>
    </row>
    <row r="125" spans="1:7" ht="18" customHeight="1" x14ac:dyDescent="0.35">
      <c r="A125" s="3"/>
      <c r="B125" s="3"/>
      <c r="C125" s="3"/>
      <c r="D125" s="3"/>
      <c r="E125" s="3"/>
      <c r="F125" s="3"/>
      <c r="G125" s="3"/>
    </row>
    <row r="126" spans="1:7" ht="18" customHeight="1" x14ac:dyDescent="0.35">
      <c r="A126" s="3"/>
      <c r="B126" s="3"/>
      <c r="C126" s="3"/>
      <c r="D126" s="3"/>
      <c r="E126" s="3"/>
      <c r="F126" s="3"/>
      <c r="G126" s="3"/>
    </row>
    <row r="127" spans="1:7" ht="18" customHeight="1" x14ac:dyDescent="0.35">
      <c r="A127" s="3"/>
      <c r="B127" s="3"/>
      <c r="C127" s="3"/>
      <c r="D127" s="3"/>
      <c r="E127" s="3"/>
      <c r="F127" s="3"/>
      <c r="G127" s="3"/>
    </row>
    <row r="128" spans="1:7" ht="18" customHeight="1" x14ac:dyDescent="0.35">
      <c r="A128" s="3"/>
      <c r="B128" s="3"/>
      <c r="C128" s="3"/>
      <c r="D128" s="3"/>
      <c r="E128" s="3"/>
      <c r="F128" s="3"/>
      <c r="G128" s="3"/>
    </row>
    <row r="129" spans="1:7" ht="18" customHeight="1" x14ac:dyDescent="0.35">
      <c r="A129" s="3"/>
      <c r="B129" s="3"/>
      <c r="C129" s="3"/>
      <c r="D129" s="3"/>
      <c r="E129" s="3"/>
      <c r="F129" s="3"/>
      <c r="G129" s="3"/>
    </row>
    <row r="130" spans="1:7" ht="18" customHeight="1" x14ac:dyDescent="0.35">
      <c r="A130" s="3"/>
      <c r="B130" s="3"/>
      <c r="C130" s="3"/>
      <c r="D130" s="3"/>
      <c r="E130" s="3"/>
      <c r="F130" s="3"/>
      <c r="G130" s="3"/>
    </row>
    <row r="131" spans="1:7" ht="18" customHeight="1" x14ac:dyDescent="0.35">
      <c r="A131" s="3"/>
      <c r="B131" s="3"/>
      <c r="C131" s="3"/>
      <c r="D131" s="3"/>
      <c r="E131" s="3"/>
      <c r="F131" s="3"/>
      <c r="G131" s="3"/>
    </row>
    <row r="132" spans="1:7" ht="18" customHeight="1" x14ac:dyDescent="0.35">
      <c r="A132" s="3"/>
      <c r="B132" s="3"/>
      <c r="C132" s="3"/>
      <c r="D132" s="3"/>
      <c r="E132" s="3"/>
      <c r="F132" s="3"/>
      <c r="G132" s="3"/>
    </row>
    <row r="133" spans="1:7" ht="18" customHeight="1" x14ac:dyDescent="0.35">
      <c r="A133" s="3"/>
      <c r="B133" s="3"/>
      <c r="C133" s="3"/>
      <c r="D133" s="3"/>
      <c r="E133" s="3"/>
      <c r="F133" s="3"/>
      <c r="G133" s="3"/>
    </row>
    <row r="134" spans="1:7" ht="18" customHeight="1" x14ac:dyDescent="0.35">
      <c r="A134" s="3"/>
      <c r="B134" s="3"/>
      <c r="C134" s="3"/>
      <c r="D134" s="3"/>
      <c r="E134" s="3"/>
      <c r="F134" s="3"/>
      <c r="G134" s="3"/>
    </row>
    <row r="135" spans="1:7" ht="18" customHeight="1" x14ac:dyDescent="0.35">
      <c r="A135" s="3"/>
      <c r="B135" s="3"/>
      <c r="C135" s="3"/>
      <c r="D135" s="3"/>
      <c r="E135" s="3"/>
      <c r="F135" s="3"/>
      <c r="G135" s="3"/>
    </row>
    <row r="136" spans="1:7" ht="18" customHeight="1" x14ac:dyDescent="0.35">
      <c r="A136" s="3"/>
      <c r="B136" s="3"/>
      <c r="C136" s="3"/>
      <c r="D136" s="3"/>
      <c r="E136" s="3"/>
      <c r="F136" s="3"/>
      <c r="G136" s="3"/>
    </row>
    <row r="137" spans="1:7" ht="18" customHeight="1" x14ac:dyDescent="0.35">
      <c r="A137" s="3"/>
      <c r="B137" s="3"/>
      <c r="C137" s="3"/>
      <c r="D137" s="3"/>
      <c r="E137" s="3"/>
      <c r="F137" s="3"/>
      <c r="G137" s="3"/>
    </row>
    <row r="138" spans="1:7" ht="18" customHeight="1" x14ac:dyDescent="0.35">
      <c r="A138" s="3"/>
      <c r="B138" s="3"/>
      <c r="C138" s="3"/>
      <c r="D138" s="3"/>
      <c r="E138" s="3"/>
      <c r="F138" s="3"/>
      <c r="G138" s="3"/>
    </row>
    <row r="139" spans="1:7" ht="18" customHeight="1" x14ac:dyDescent="0.35">
      <c r="A139" s="3"/>
      <c r="B139" s="3"/>
      <c r="C139" s="3"/>
      <c r="D139" s="3"/>
      <c r="E139" s="3"/>
      <c r="F139" s="3"/>
      <c r="G139" s="3"/>
    </row>
    <row r="140" spans="1:7" ht="18" customHeight="1" x14ac:dyDescent="0.35">
      <c r="A140" s="3"/>
      <c r="B140" s="3"/>
      <c r="C140" s="3"/>
      <c r="D140" s="3"/>
      <c r="E140" s="3"/>
      <c r="F140" s="3"/>
      <c r="G140" s="3"/>
    </row>
    <row r="141" spans="1:7" ht="18" customHeight="1" x14ac:dyDescent="0.35">
      <c r="A141" s="3"/>
      <c r="B141" s="3"/>
      <c r="C141" s="3"/>
      <c r="D141" s="3"/>
      <c r="E141" s="3"/>
      <c r="F141" s="3"/>
      <c r="G141" s="3"/>
    </row>
    <row r="142" spans="1:7" ht="18" customHeight="1" x14ac:dyDescent="0.35">
      <c r="A142" s="3"/>
      <c r="B142" s="3"/>
      <c r="C142" s="3"/>
      <c r="D142" s="3"/>
      <c r="E142" s="3"/>
      <c r="F142" s="3"/>
      <c r="G142" s="3"/>
    </row>
    <row r="143" spans="1:7" ht="18" customHeight="1" x14ac:dyDescent="0.35">
      <c r="A143" s="3"/>
      <c r="B143" s="3"/>
      <c r="C143" s="3"/>
      <c r="D143" s="3"/>
      <c r="E143" s="3"/>
      <c r="F143" s="3"/>
      <c r="G143" s="3"/>
    </row>
    <row r="144" spans="1:7" ht="18" customHeight="1" x14ac:dyDescent="0.35">
      <c r="A144" s="3"/>
      <c r="B144" s="3"/>
      <c r="C144" s="3"/>
      <c r="D144" s="3"/>
      <c r="E144" s="3"/>
      <c r="F144" s="3"/>
      <c r="G144" s="3"/>
    </row>
    <row r="145" spans="1:7" ht="18" customHeight="1" x14ac:dyDescent="0.35">
      <c r="A145" s="3"/>
      <c r="B145" s="3"/>
      <c r="C145" s="3"/>
      <c r="D145" s="3"/>
      <c r="E145" s="3"/>
      <c r="F145" s="3"/>
      <c r="G145" s="3"/>
    </row>
    <row r="146" spans="1:7" ht="18" customHeight="1" x14ac:dyDescent="0.35">
      <c r="A146" s="3"/>
      <c r="B146" s="3"/>
      <c r="C146" s="3"/>
      <c r="D146" s="3"/>
      <c r="E146" s="3"/>
      <c r="F146" s="3"/>
      <c r="G146" s="3"/>
    </row>
    <row r="147" spans="1:7" ht="18" customHeight="1" x14ac:dyDescent="0.35">
      <c r="A147" s="3"/>
      <c r="B147" s="3"/>
      <c r="C147" s="3"/>
      <c r="D147" s="3"/>
      <c r="E147" s="3"/>
      <c r="F147" s="3"/>
      <c r="G147" s="3"/>
    </row>
    <row r="148" spans="1:7" ht="18" customHeight="1" x14ac:dyDescent="0.35">
      <c r="A148" s="3"/>
      <c r="B148" s="3"/>
      <c r="C148" s="3"/>
      <c r="D148" s="3"/>
      <c r="E148" s="3"/>
      <c r="F148" s="3"/>
      <c r="G148" s="3"/>
    </row>
    <row r="149" spans="1:7" ht="18" customHeight="1" x14ac:dyDescent="0.35">
      <c r="A149" s="3"/>
      <c r="B149" s="3"/>
      <c r="C149" s="3"/>
      <c r="D149" s="3"/>
      <c r="E149" s="3"/>
      <c r="F149" s="3"/>
      <c r="G149" s="3"/>
    </row>
    <row r="150" spans="1:7" ht="18" customHeight="1" x14ac:dyDescent="0.35">
      <c r="A150" s="3"/>
      <c r="B150" s="3"/>
      <c r="C150" s="3"/>
      <c r="D150" s="3"/>
      <c r="E150" s="3"/>
      <c r="F150" s="3"/>
      <c r="G150" s="3"/>
    </row>
    <row r="151" spans="1:7" ht="18" customHeight="1" x14ac:dyDescent="0.35">
      <c r="A151" s="3"/>
      <c r="B151" s="3"/>
      <c r="C151" s="3"/>
      <c r="D151" s="3"/>
      <c r="E151" s="3"/>
      <c r="F151" s="3"/>
      <c r="G151" s="3"/>
    </row>
    <row r="152" spans="1:7" ht="18" customHeight="1" x14ac:dyDescent="0.35">
      <c r="A152" s="3"/>
      <c r="B152" s="3"/>
      <c r="C152" s="3"/>
      <c r="D152" s="3"/>
      <c r="E152" s="3"/>
      <c r="F152" s="3"/>
      <c r="G152" s="3"/>
    </row>
    <row r="153" spans="1:7" ht="18" customHeight="1" x14ac:dyDescent="0.35">
      <c r="A153" s="3"/>
      <c r="B153" s="3"/>
      <c r="C153" s="3"/>
      <c r="D153" s="3"/>
      <c r="E153" s="3"/>
      <c r="F153" s="3"/>
      <c r="G153" s="3"/>
    </row>
    <row r="154" spans="1:7" ht="18" customHeight="1" x14ac:dyDescent="0.35">
      <c r="A154" s="3"/>
      <c r="B154" s="3"/>
      <c r="C154" s="3"/>
      <c r="D154" s="3"/>
      <c r="E154" s="3"/>
      <c r="F154" s="3"/>
      <c r="G154" s="3"/>
    </row>
    <row r="155" spans="1:7" ht="18" customHeight="1" x14ac:dyDescent="0.35">
      <c r="A155" s="3"/>
      <c r="B155" s="3"/>
      <c r="C155" s="3"/>
      <c r="D155" s="3"/>
      <c r="E155" s="3"/>
      <c r="F155" s="3"/>
      <c r="G155" s="3"/>
    </row>
    <row r="156" spans="1:7" ht="18" customHeight="1" x14ac:dyDescent="0.35">
      <c r="A156" s="3"/>
      <c r="B156" s="3"/>
      <c r="C156" s="3"/>
      <c r="D156" s="3"/>
      <c r="E156" s="3"/>
      <c r="F156" s="3"/>
      <c r="G156" s="3"/>
    </row>
    <row r="157" spans="1:7" ht="18" customHeight="1" x14ac:dyDescent="0.35">
      <c r="A157" s="3"/>
      <c r="B157" s="3"/>
      <c r="C157" s="3"/>
      <c r="D157" s="3"/>
      <c r="E157" s="3"/>
      <c r="F157" s="3"/>
      <c r="G157" s="3"/>
    </row>
    <row r="158" spans="1:7" ht="18" customHeight="1" x14ac:dyDescent="0.35">
      <c r="A158" s="3"/>
      <c r="B158" s="3"/>
      <c r="C158" s="3"/>
      <c r="D158" s="3"/>
      <c r="E158" s="3"/>
      <c r="F158" s="3"/>
      <c r="G158" s="3"/>
    </row>
    <row r="159" spans="1:7" ht="18" customHeight="1" x14ac:dyDescent="0.35">
      <c r="A159" s="3"/>
      <c r="B159" s="3"/>
      <c r="C159" s="3"/>
      <c r="D159" s="3"/>
      <c r="E159" s="3"/>
      <c r="F159" s="3"/>
      <c r="G159" s="3"/>
    </row>
    <row r="160" spans="1:7" ht="18" customHeight="1" x14ac:dyDescent="0.35">
      <c r="A160" s="3"/>
      <c r="B160" s="3"/>
      <c r="C160" s="3"/>
      <c r="D160" s="3"/>
      <c r="E160" s="3"/>
      <c r="F160" s="3"/>
      <c r="G160" s="3"/>
    </row>
    <row r="161" spans="1:7" ht="18" customHeight="1" x14ac:dyDescent="0.35">
      <c r="A161" s="3"/>
      <c r="B161" s="3"/>
      <c r="C161" s="3"/>
      <c r="D161" s="3"/>
      <c r="E161" s="3"/>
      <c r="F161" s="3"/>
      <c r="G161" s="3"/>
    </row>
    <row r="162" spans="1:7" ht="18" customHeight="1" x14ac:dyDescent="0.35">
      <c r="A162" s="3"/>
      <c r="B162" s="3"/>
      <c r="C162" s="3"/>
      <c r="D162" s="3"/>
      <c r="E162" s="3"/>
      <c r="F162" s="3"/>
      <c r="G162" s="3"/>
    </row>
    <row r="163" spans="1:7" ht="18" customHeight="1" x14ac:dyDescent="0.35">
      <c r="A163" s="3"/>
      <c r="B163" s="3"/>
      <c r="C163" s="3"/>
      <c r="D163" s="3"/>
      <c r="E163" s="3"/>
      <c r="F163" s="3"/>
      <c r="G163" s="3"/>
    </row>
    <row r="164" spans="1:7" ht="18" customHeight="1" x14ac:dyDescent="0.35">
      <c r="A164" s="3"/>
      <c r="B164" s="3"/>
      <c r="C164" s="3"/>
      <c r="D164" s="3"/>
      <c r="E164" s="3"/>
      <c r="F164" s="3"/>
      <c r="G164" s="3"/>
    </row>
    <row r="165" spans="1:7" ht="18" customHeight="1" x14ac:dyDescent="0.35">
      <c r="A165" s="3"/>
      <c r="B165" s="3"/>
      <c r="C165" s="3"/>
      <c r="D165" s="3"/>
      <c r="E165" s="3"/>
      <c r="F165" s="3"/>
      <c r="G165" s="3"/>
    </row>
    <row r="166" spans="1:7" ht="18" customHeight="1" x14ac:dyDescent="0.35">
      <c r="A166" s="3"/>
      <c r="B166" s="3"/>
      <c r="C166" s="3"/>
      <c r="D166" s="3"/>
      <c r="E166" s="3"/>
      <c r="F166" s="3"/>
      <c r="G166" s="3"/>
    </row>
    <row r="167" spans="1:7" ht="18" customHeight="1" x14ac:dyDescent="0.35">
      <c r="A167" s="3"/>
      <c r="B167" s="3"/>
      <c r="C167" s="3"/>
      <c r="D167" s="3"/>
      <c r="E167" s="3"/>
      <c r="F167" s="3"/>
      <c r="G167" s="3"/>
    </row>
    <row r="168" spans="1:7" ht="18" customHeight="1" x14ac:dyDescent="0.35">
      <c r="A168" s="3"/>
      <c r="B168" s="3"/>
      <c r="C168" s="3"/>
      <c r="D168" s="3"/>
      <c r="E168" s="3"/>
      <c r="F168" s="3"/>
      <c r="G168" s="3"/>
    </row>
    <row r="169" spans="1:7" ht="18" customHeight="1" x14ac:dyDescent="0.35">
      <c r="A169" s="3"/>
      <c r="B169" s="3"/>
      <c r="C169" s="3"/>
      <c r="D169" s="3"/>
      <c r="E169" s="3"/>
      <c r="F169" s="3"/>
      <c r="G169" s="3"/>
    </row>
    <row r="170" spans="1:7" ht="18" customHeight="1" x14ac:dyDescent="0.35">
      <c r="A170" s="3"/>
      <c r="B170" s="3"/>
      <c r="C170" s="3"/>
      <c r="D170" s="3"/>
      <c r="E170" s="3"/>
      <c r="F170" s="3"/>
      <c r="G170" s="3"/>
    </row>
    <row r="171" spans="1:7" ht="18" customHeight="1" x14ac:dyDescent="0.35">
      <c r="A171" s="3"/>
      <c r="B171" s="3"/>
      <c r="C171" s="3"/>
      <c r="D171" s="3"/>
      <c r="E171" s="3"/>
      <c r="F171" s="3"/>
      <c r="G171" s="3"/>
    </row>
    <row r="172" spans="1:7" ht="18" customHeight="1" x14ac:dyDescent="0.35">
      <c r="A172" s="3"/>
      <c r="B172" s="3"/>
      <c r="C172" s="3"/>
      <c r="D172" s="3"/>
      <c r="E172" s="3"/>
      <c r="F172" s="3"/>
      <c r="G172" s="3"/>
    </row>
    <row r="173" spans="1:7" ht="18" customHeight="1" x14ac:dyDescent="0.35">
      <c r="A173" s="3"/>
      <c r="B173" s="3"/>
      <c r="C173" s="3"/>
      <c r="D173" s="3"/>
      <c r="E173" s="3"/>
      <c r="F173" s="3"/>
      <c r="G173" s="3"/>
    </row>
    <row r="174" spans="1:7" ht="18" customHeight="1" x14ac:dyDescent="0.35">
      <c r="A174" s="3"/>
      <c r="B174" s="3"/>
      <c r="C174" s="3"/>
      <c r="D174" s="3"/>
      <c r="E174" s="3"/>
      <c r="F174" s="3"/>
      <c r="G174" s="3"/>
    </row>
    <row r="175" spans="1:7" ht="18" customHeight="1" x14ac:dyDescent="0.35">
      <c r="A175" s="3"/>
      <c r="B175" s="3"/>
      <c r="C175" s="3"/>
      <c r="D175" s="3"/>
      <c r="E175" s="3"/>
      <c r="F175" s="3"/>
      <c r="G175" s="3"/>
    </row>
    <row r="176" spans="1:7" ht="18" customHeight="1" x14ac:dyDescent="0.35">
      <c r="A176" s="3"/>
      <c r="B176" s="3"/>
      <c r="C176" s="3"/>
      <c r="D176" s="3"/>
      <c r="E176" s="3"/>
      <c r="F176" s="3"/>
      <c r="G176" s="3"/>
    </row>
    <row r="177" spans="1:7" ht="18" customHeight="1" x14ac:dyDescent="0.35">
      <c r="A177" s="3"/>
      <c r="B177" s="3"/>
      <c r="C177" s="3"/>
      <c r="D177" s="3"/>
      <c r="E177" s="3"/>
      <c r="F177" s="3"/>
      <c r="G177" s="3"/>
    </row>
    <row r="178" spans="1:7" ht="18" customHeight="1" x14ac:dyDescent="0.35">
      <c r="A178" s="3"/>
      <c r="B178" s="3"/>
      <c r="C178" s="3"/>
      <c r="D178" s="3"/>
      <c r="E178" s="3"/>
      <c r="F178" s="3"/>
      <c r="G178" s="3"/>
    </row>
    <row r="179" spans="1:7" ht="18" customHeight="1" x14ac:dyDescent="0.35">
      <c r="A179" s="3"/>
      <c r="B179" s="3"/>
      <c r="C179" s="3"/>
      <c r="D179" s="3"/>
      <c r="E179" s="3"/>
      <c r="F179" s="3"/>
      <c r="G179" s="3"/>
    </row>
    <row r="180" spans="1:7" ht="18" customHeight="1" x14ac:dyDescent="0.35">
      <c r="A180" s="3"/>
      <c r="B180" s="3"/>
      <c r="C180" s="3"/>
      <c r="D180" s="3"/>
      <c r="E180" s="3"/>
      <c r="F180" s="3"/>
      <c r="G180" s="3"/>
    </row>
    <row r="181" spans="1:7" ht="18" customHeight="1" x14ac:dyDescent="0.35">
      <c r="A181" s="3"/>
      <c r="B181" s="3"/>
      <c r="C181" s="3"/>
      <c r="D181" s="3"/>
      <c r="E181" s="3"/>
      <c r="F181" s="3"/>
      <c r="G181" s="3"/>
    </row>
    <row r="182" spans="1:7" ht="18" customHeight="1" x14ac:dyDescent="0.35">
      <c r="A182" s="3"/>
      <c r="B182" s="3"/>
      <c r="C182" s="3"/>
      <c r="D182" s="3"/>
      <c r="E182" s="3"/>
      <c r="F182" s="3"/>
      <c r="G182" s="3"/>
    </row>
    <row r="183" spans="1:7" ht="18" customHeight="1" x14ac:dyDescent="0.35">
      <c r="A183" s="3"/>
      <c r="B183" s="3"/>
      <c r="C183" s="3"/>
      <c r="D183" s="3"/>
      <c r="E183" s="3"/>
      <c r="F183" s="3"/>
      <c r="G183" s="3"/>
    </row>
    <row r="184" spans="1:7" ht="18" customHeight="1" x14ac:dyDescent="0.35">
      <c r="A184" s="3"/>
      <c r="B184" s="3"/>
      <c r="C184" s="3"/>
      <c r="D184" s="3"/>
      <c r="E184" s="3"/>
      <c r="F184" s="3"/>
      <c r="G184" s="3"/>
    </row>
    <row r="185" spans="1:7" ht="18" customHeight="1" x14ac:dyDescent="0.35">
      <c r="A185" s="3"/>
      <c r="B185" s="3"/>
      <c r="C185" s="3"/>
      <c r="D185" s="3"/>
      <c r="E185" s="3"/>
      <c r="F185" s="3"/>
      <c r="G185" s="3"/>
    </row>
    <row r="186" spans="1:7" ht="18" customHeight="1" x14ac:dyDescent="0.35">
      <c r="A186" s="3"/>
      <c r="B186" s="3"/>
      <c r="C186" s="3"/>
      <c r="D186" s="3"/>
      <c r="E186" s="3"/>
      <c r="F186" s="3"/>
      <c r="G186" s="3"/>
    </row>
    <row r="187" spans="1:7" ht="18" customHeight="1" x14ac:dyDescent="0.35">
      <c r="A187" s="3"/>
      <c r="B187" s="3"/>
      <c r="C187" s="3"/>
      <c r="D187" s="3"/>
      <c r="E187" s="3"/>
      <c r="F187" s="3"/>
      <c r="G187" s="3"/>
    </row>
    <row r="188" spans="1:7" ht="18" customHeight="1" x14ac:dyDescent="0.35">
      <c r="A188" s="3"/>
      <c r="B188" s="3"/>
      <c r="C188" s="3"/>
      <c r="D188" s="3"/>
      <c r="E188" s="3"/>
      <c r="F188" s="3"/>
      <c r="G188" s="3"/>
    </row>
    <row r="189" spans="1:7" ht="18" customHeight="1" x14ac:dyDescent="0.35">
      <c r="A189" s="3"/>
      <c r="B189" s="3"/>
      <c r="C189" s="3"/>
      <c r="D189" s="3"/>
      <c r="E189" s="3"/>
      <c r="F189" s="3"/>
      <c r="G189" s="3"/>
    </row>
    <row r="190" spans="1:7" ht="18" customHeight="1" x14ac:dyDescent="0.35">
      <c r="A190" s="3"/>
      <c r="B190" s="3"/>
      <c r="C190" s="3"/>
      <c r="D190" s="3"/>
      <c r="E190" s="3"/>
      <c r="F190" s="3"/>
      <c r="G190" s="3"/>
    </row>
    <row r="191" spans="1:7" ht="18" customHeight="1" x14ac:dyDescent="0.35">
      <c r="A191" s="3"/>
      <c r="B191" s="3"/>
      <c r="C191" s="3"/>
      <c r="D191" s="3"/>
      <c r="E191" s="3"/>
      <c r="F191" s="3"/>
      <c r="G191" s="3"/>
    </row>
    <row r="192" spans="1:7" ht="18" customHeight="1" x14ac:dyDescent="0.35">
      <c r="A192" s="3"/>
      <c r="B192" s="3"/>
      <c r="C192" s="3"/>
      <c r="D192" s="3"/>
      <c r="E192" s="3"/>
      <c r="F192" s="3"/>
      <c r="G192" s="3"/>
    </row>
    <row r="193" spans="1:7" ht="18" customHeight="1" x14ac:dyDescent="0.35">
      <c r="A193" s="3"/>
      <c r="B193" s="3"/>
      <c r="C193" s="3"/>
      <c r="D193" s="3"/>
      <c r="E193" s="3"/>
      <c r="F193" s="3"/>
      <c r="G193" s="3"/>
    </row>
    <row r="194" spans="1:7" ht="18" customHeight="1" x14ac:dyDescent="0.35">
      <c r="A194" s="3"/>
      <c r="B194" s="3"/>
      <c r="C194" s="3"/>
      <c r="D194" s="3"/>
      <c r="E194" s="3"/>
      <c r="F194" s="3"/>
      <c r="G194" s="3"/>
    </row>
    <row r="195" spans="1:7" ht="18" customHeight="1" x14ac:dyDescent="0.35">
      <c r="A195" s="3"/>
      <c r="B195" s="3"/>
      <c r="C195" s="3"/>
      <c r="D195" s="3"/>
      <c r="E195" s="3"/>
      <c r="F195" s="3"/>
      <c r="G195" s="3"/>
    </row>
    <row r="196" spans="1:7" ht="18" customHeight="1" x14ac:dyDescent="0.35">
      <c r="A196" s="3"/>
      <c r="B196" s="3"/>
      <c r="C196" s="3"/>
      <c r="D196" s="3"/>
      <c r="E196" s="3"/>
      <c r="F196" s="3"/>
      <c r="G196" s="3"/>
    </row>
    <row r="197" spans="1:7" ht="18" customHeight="1" x14ac:dyDescent="0.35">
      <c r="A197" s="3"/>
      <c r="B197" s="3"/>
      <c r="C197" s="3"/>
      <c r="D197" s="3"/>
      <c r="E197" s="3"/>
      <c r="F197" s="3"/>
      <c r="G197" s="3"/>
    </row>
    <row r="198" spans="1:7" ht="18" customHeight="1" x14ac:dyDescent="0.35">
      <c r="A198" s="3"/>
      <c r="B198" s="3"/>
      <c r="C198" s="3"/>
      <c r="D198" s="3"/>
      <c r="E198" s="3"/>
      <c r="F198" s="3"/>
      <c r="G198" s="3"/>
    </row>
    <row r="199" spans="1:7" ht="18" customHeight="1" x14ac:dyDescent="0.35">
      <c r="A199" s="3"/>
      <c r="B199" s="3"/>
      <c r="C199" s="3"/>
      <c r="D199" s="3"/>
      <c r="E199" s="3"/>
      <c r="F199" s="3"/>
      <c r="G199" s="3"/>
    </row>
    <row r="200" spans="1:7" ht="18" customHeight="1" x14ac:dyDescent="0.35">
      <c r="A200" s="3"/>
      <c r="B200" s="3"/>
      <c r="C200" s="3"/>
      <c r="D200" s="3"/>
      <c r="E200" s="3"/>
      <c r="F200" s="3"/>
      <c r="G200" s="3"/>
    </row>
    <row r="201" spans="1:7" ht="18" customHeight="1" x14ac:dyDescent="0.35">
      <c r="A201" s="3"/>
      <c r="B201" s="3"/>
      <c r="C201" s="3"/>
      <c r="D201" s="3"/>
      <c r="E201" s="3"/>
      <c r="F201" s="3"/>
      <c r="G201" s="3"/>
    </row>
    <row r="202" spans="1:7" ht="18" customHeight="1" x14ac:dyDescent="0.35">
      <c r="A202" s="3"/>
      <c r="B202" s="3"/>
      <c r="C202" s="3"/>
      <c r="D202" s="3"/>
      <c r="E202" s="3"/>
      <c r="F202" s="3"/>
      <c r="G202" s="3"/>
    </row>
    <row r="203" spans="1:7" ht="18" customHeight="1" x14ac:dyDescent="0.35">
      <c r="A203" s="3"/>
      <c r="B203" s="3"/>
      <c r="C203" s="3"/>
      <c r="D203" s="3"/>
      <c r="E203" s="3"/>
      <c r="F203" s="3"/>
      <c r="G203" s="3"/>
    </row>
    <row r="204" spans="1:7" ht="18" customHeight="1" x14ac:dyDescent="0.35">
      <c r="A204" s="3"/>
      <c r="B204" s="3"/>
      <c r="C204" s="3"/>
      <c r="D204" s="3"/>
      <c r="E204" s="3"/>
      <c r="F204" s="3"/>
      <c r="G204" s="3"/>
    </row>
    <row r="205" spans="1:7" ht="18" customHeight="1" x14ac:dyDescent="0.35">
      <c r="A205" s="3"/>
      <c r="B205" s="3"/>
      <c r="C205" s="3"/>
      <c r="D205" s="3"/>
      <c r="E205" s="3"/>
      <c r="F205" s="3"/>
      <c r="G205" s="3"/>
    </row>
    <row r="206" spans="1:7" ht="18" customHeight="1" x14ac:dyDescent="0.35">
      <c r="A206" s="3"/>
      <c r="B206" s="3"/>
      <c r="C206" s="3"/>
      <c r="D206" s="3"/>
      <c r="E206" s="3"/>
      <c r="F206" s="3"/>
      <c r="G206" s="3"/>
    </row>
    <row r="207" spans="1:7" ht="18" customHeight="1" x14ac:dyDescent="0.35">
      <c r="A207" s="3"/>
      <c r="B207" s="3"/>
      <c r="C207" s="3"/>
      <c r="D207" s="3"/>
      <c r="E207" s="3"/>
      <c r="F207" s="3"/>
      <c r="G207" s="3"/>
    </row>
    <row r="208" spans="1:7" ht="18" customHeight="1" x14ac:dyDescent="0.35">
      <c r="A208" s="3"/>
      <c r="B208" s="3"/>
      <c r="C208" s="3"/>
      <c r="D208" s="3"/>
      <c r="E208" s="3"/>
      <c r="F208" s="3"/>
      <c r="G208" s="3"/>
    </row>
    <row r="209" spans="1:7" ht="18" customHeight="1" x14ac:dyDescent="0.35">
      <c r="A209" s="3"/>
      <c r="B209" s="3"/>
      <c r="C209" s="3"/>
      <c r="D209" s="3"/>
      <c r="E209" s="3"/>
      <c r="F209" s="3"/>
      <c r="G209" s="3"/>
    </row>
    <row r="210" spans="1:7" ht="18" customHeight="1" x14ac:dyDescent="0.35">
      <c r="A210" s="3"/>
      <c r="B210" s="3"/>
      <c r="C210" s="3"/>
      <c r="D210" s="3"/>
      <c r="E210" s="3"/>
      <c r="F210" s="3"/>
      <c r="G210" s="3"/>
    </row>
    <row r="211" spans="1:7" ht="18" customHeight="1" x14ac:dyDescent="0.35">
      <c r="A211" s="3"/>
      <c r="B211" s="3"/>
      <c r="C211" s="3"/>
      <c r="D211" s="3"/>
      <c r="E211" s="3"/>
      <c r="F211" s="3"/>
      <c r="G211" s="3"/>
    </row>
    <row r="212" spans="1:7" ht="18" customHeight="1" x14ac:dyDescent="0.35">
      <c r="A212" s="3"/>
      <c r="B212" s="3"/>
      <c r="C212" s="3"/>
      <c r="D212" s="3"/>
      <c r="E212" s="3"/>
      <c r="F212" s="3"/>
      <c r="G212" s="3"/>
    </row>
    <row r="213" spans="1:7" ht="18" customHeight="1" x14ac:dyDescent="0.35">
      <c r="A213" s="3"/>
      <c r="B213" s="3"/>
      <c r="C213" s="3"/>
      <c r="D213" s="3"/>
      <c r="E213" s="3"/>
      <c r="F213" s="3"/>
      <c r="G213" s="3"/>
    </row>
    <row r="214" spans="1:7" ht="18" customHeight="1" x14ac:dyDescent="0.35">
      <c r="A214" s="3"/>
      <c r="B214" s="3"/>
      <c r="C214" s="3"/>
      <c r="D214" s="3"/>
      <c r="E214" s="3"/>
      <c r="F214" s="3"/>
      <c r="G214" s="3"/>
    </row>
    <row r="215" spans="1:7" ht="18" customHeight="1" x14ac:dyDescent="0.35">
      <c r="A215" s="3"/>
      <c r="B215" s="3"/>
      <c r="C215" s="3"/>
      <c r="D215" s="3"/>
      <c r="E215" s="3"/>
      <c r="F215" s="3"/>
      <c r="G215" s="3"/>
    </row>
    <row r="216" spans="1:7" ht="18" customHeight="1" x14ac:dyDescent="0.35">
      <c r="A216" s="3"/>
      <c r="B216" s="3"/>
      <c r="C216" s="3"/>
      <c r="D216" s="3"/>
      <c r="E216" s="3"/>
      <c r="F216" s="3"/>
      <c r="G216" s="3"/>
    </row>
    <row r="217" spans="1:7" ht="18" customHeight="1" x14ac:dyDescent="0.35">
      <c r="A217" s="3"/>
      <c r="B217" s="3"/>
      <c r="C217" s="3"/>
      <c r="D217" s="3"/>
      <c r="E217" s="3"/>
      <c r="F217" s="3"/>
      <c r="G217" s="3"/>
    </row>
    <row r="218" spans="1:7" ht="18" customHeight="1" x14ac:dyDescent="0.35">
      <c r="A218" s="3"/>
      <c r="B218" s="3"/>
      <c r="C218" s="3"/>
      <c r="D218" s="3"/>
      <c r="E218" s="3"/>
      <c r="F218" s="3"/>
      <c r="G218" s="3"/>
    </row>
    <row r="219" spans="1:7" ht="18" customHeight="1" x14ac:dyDescent="0.35">
      <c r="A219" s="3"/>
      <c r="B219" s="3"/>
      <c r="C219" s="3"/>
      <c r="D219" s="3"/>
      <c r="E219" s="3"/>
      <c r="F219" s="3"/>
      <c r="G219" s="3"/>
    </row>
    <row r="220" spans="1:7" ht="18" customHeight="1" x14ac:dyDescent="0.35">
      <c r="A220" s="3"/>
      <c r="B220" s="3"/>
      <c r="C220" s="3"/>
      <c r="D220" s="3"/>
      <c r="E220" s="3"/>
      <c r="F220" s="3"/>
      <c r="G220" s="3"/>
    </row>
    <row r="221" spans="1:7" ht="18" customHeight="1" x14ac:dyDescent="0.35">
      <c r="A221" s="3"/>
      <c r="B221" s="3"/>
      <c r="C221" s="3"/>
      <c r="D221" s="3"/>
      <c r="E221" s="3"/>
      <c r="F221" s="3"/>
      <c r="G221" s="3"/>
    </row>
    <row r="222" spans="1:7" ht="18" customHeight="1" x14ac:dyDescent="0.35">
      <c r="A222" s="3"/>
      <c r="B222" s="3"/>
      <c r="C222" s="3"/>
      <c r="D222" s="3"/>
      <c r="E222" s="3"/>
      <c r="F222" s="3"/>
      <c r="G222" s="3"/>
    </row>
    <row r="223" spans="1:7" ht="18" customHeight="1" x14ac:dyDescent="0.35">
      <c r="A223" s="3"/>
      <c r="B223" s="3"/>
      <c r="C223" s="3"/>
      <c r="D223" s="3"/>
      <c r="E223" s="3"/>
      <c r="F223" s="3"/>
      <c r="G223" s="3"/>
    </row>
    <row r="224" spans="1:7" ht="18" customHeight="1" x14ac:dyDescent="0.35">
      <c r="A224" s="3"/>
      <c r="B224" s="3"/>
      <c r="C224" s="3"/>
      <c r="D224" s="3"/>
      <c r="E224" s="3"/>
      <c r="F224" s="3"/>
      <c r="G224" s="3"/>
    </row>
    <row r="225" spans="1:7" ht="18" customHeight="1" x14ac:dyDescent="0.35">
      <c r="A225" s="3"/>
      <c r="B225" s="3"/>
      <c r="C225" s="3"/>
      <c r="D225" s="3"/>
      <c r="E225" s="3"/>
      <c r="F225" s="3"/>
      <c r="G225" s="3"/>
    </row>
    <row r="226" spans="1:7" ht="18" customHeight="1" x14ac:dyDescent="0.35">
      <c r="A226" s="3"/>
      <c r="B226" s="3"/>
      <c r="C226" s="3"/>
      <c r="D226" s="3"/>
      <c r="E226" s="3"/>
      <c r="F226" s="3"/>
      <c r="G226" s="3"/>
    </row>
    <row r="227" spans="1:7" ht="18" customHeight="1" x14ac:dyDescent="0.35">
      <c r="A227" s="3"/>
      <c r="B227" s="3"/>
      <c r="C227" s="3"/>
      <c r="D227" s="3"/>
      <c r="E227" s="3"/>
      <c r="F227" s="3"/>
      <c r="G227" s="3"/>
    </row>
    <row r="228" spans="1:7" ht="18" customHeight="1" x14ac:dyDescent="0.35">
      <c r="A228" s="3"/>
      <c r="B228" s="3"/>
      <c r="C228" s="3"/>
      <c r="D228" s="3"/>
      <c r="E228" s="3"/>
      <c r="F228" s="3"/>
      <c r="G228" s="3"/>
    </row>
    <row r="229" spans="1:7" ht="18" customHeight="1" x14ac:dyDescent="0.35">
      <c r="A229" s="3"/>
      <c r="B229" s="3"/>
      <c r="C229" s="3"/>
      <c r="D229" s="3"/>
      <c r="E229" s="3"/>
      <c r="F229" s="3"/>
      <c r="G229" s="3"/>
    </row>
    <row r="230" spans="1:7" ht="18" customHeight="1" x14ac:dyDescent="0.35">
      <c r="A230" s="3"/>
      <c r="B230" s="3"/>
      <c r="C230" s="3"/>
      <c r="D230" s="3"/>
      <c r="E230" s="3"/>
      <c r="F230" s="3"/>
      <c r="G230" s="3"/>
    </row>
    <row r="231" spans="1:7" ht="18" customHeight="1" x14ac:dyDescent="0.35">
      <c r="A231" s="3"/>
      <c r="B231" s="3"/>
      <c r="C231" s="3"/>
      <c r="D231" s="3"/>
      <c r="E231" s="3"/>
      <c r="F231" s="3"/>
      <c r="G231" s="3"/>
    </row>
    <row r="232" spans="1:7" ht="18" customHeight="1" x14ac:dyDescent="0.35">
      <c r="A232" s="3"/>
      <c r="B232" s="3"/>
      <c r="C232" s="3"/>
      <c r="D232" s="3"/>
      <c r="E232" s="3"/>
      <c r="F232" s="3"/>
      <c r="G232" s="3"/>
    </row>
    <row r="233" spans="1:7" ht="18" customHeight="1" x14ac:dyDescent="0.35">
      <c r="A233" s="3"/>
      <c r="B233" s="3"/>
      <c r="C233" s="3"/>
      <c r="D233" s="3"/>
      <c r="E233" s="3"/>
      <c r="F233" s="3"/>
      <c r="G233" s="3"/>
    </row>
    <row r="234" spans="1:7" ht="18" customHeight="1" x14ac:dyDescent="0.35">
      <c r="A234" s="3"/>
      <c r="B234" s="3"/>
      <c r="C234" s="3"/>
      <c r="D234" s="3"/>
      <c r="E234" s="3"/>
      <c r="F234" s="3"/>
      <c r="G234" s="3"/>
    </row>
    <row r="235" spans="1:7" ht="18" customHeight="1" x14ac:dyDescent="0.35">
      <c r="A235" s="3"/>
      <c r="B235" s="3"/>
      <c r="C235" s="3"/>
      <c r="D235" s="3"/>
      <c r="E235" s="3"/>
      <c r="F235" s="3"/>
      <c r="G235" s="3"/>
    </row>
    <row r="236" spans="1:7" ht="18" customHeight="1" x14ac:dyDescent="0.35">
      <c r="A236" s="3"/>
      <c r="B236" s="3"/>
      <c r="C236" s="3"/>
      <c r="D236" s="3"/>
      <c r="E236" s="3"/>
      <c r="F236" s="3"/>
      <c r="G236" s="3"/>
    </row>
    <row r="237" spans="1:7" ht="18" customHeight="1" x14ac:dyDescent="0.35">
      <c r="A237" s="3"/>
      <c r="B237" s="3"/>
      <c r="C237" s="3"/>
      <c r="D237" s="3"/>
      <c r="E237" s="3"/>
      <c r="F237" s="3"/>
      <c r="G237" s="3"/>
    </row>
    <row r="238" spans="1:7" ht="18" customHeight="1" x14ac:dyDescent="0.35">
      <c r="A238" s="3"/>
      <c r="B238" s="3"/>
      <c r="C238" s="3"/>
      <c r="D238" s="3"/>
      <c r="E238" s="3"/>
      <c r="F238" s="3"/>
      <c r="G238" s="3"/>
    </row>
    <row r="239" spans="1:7" ht="18" customHeight="1" x14ac:dyDescent="0.35">
      <c r="A239" s="3"/>
      <c r="B239" s="3"/>
      <c r="C239" s="3"/>
      <c r="D239" s="3"/>
      <c r="E239" s="3"/>
      <c r="F239" s="3"/>
      <c r="G239" s="3"/>
    </row>
    <row r="240" spans="1:7" ht="18" customHeight="1" x14ac:dyDescent="0.35">
      <c r="A240" s="3"/>
      <c r="B240" s="3"/>
      <c r="C240" s="3"/>
      <c r="D240" s="3"/>
      <c r="E240" s="3"/>
      <c r="F240" s="3"/>
      <c r="G240" s="3"/>
    </row>
    <row r="241" spans="1:7" ht="18" customHeight="1" x14ac:dyDescent="0.35">
      <c r="A241" s="3"/>
      <c r="B241" s="3"/>
      <c r="C241" s="3"/>
      <c r="D241" s="3"/>
      <c r="E241" s="3"/>
      <c r="F241" s="3"/>
      <c r="G241" s="3"/>
    </row>
    <row r="242" spans="1:7" ht="18" customHeight="1" x14ac:dyDescent="0.35">
      <c r="A242" s="3"/>
      <c r="B242" s="3"/>
      <c r="C242" s="3"/>
      <c r="D242" s="3"/>
      <c r="E242" s="3"/>
      <c r="F242" s="3"/>
      <c r="G242" s="3"/>
    </row>
    <row r="243" spans="1:7" ht="18" customHeight="1" x14ac:dyDescent="0.35">
      <c r="A243" s="3"/>
      <c r="B243" s="3"/>
      <c r="C243" s="3"/>
      <c r="D243" s="3"/>
      <c r="E243" s="3"/>
      <c r="F243" s="3"/>
      <c r="G243" s="3"/>
    </row>
    <row r="244" spans="1:7" ht="18" customHeight="1" x14ac:dyDescent="0.35">
      <c r="A244" s="3"/>
      <c r="B244" s="3"/>
      <c r="C244" s="3"/>
      <c r="D244" s="3"/>
      <c r="E244" s="3"/>
      <c r="F244" s="3"/>
      <c r="G244" s="3"/>
    </row>
    <row r="245" spans="1:7" ht="18" customHeight="1" x14ac:dyDescent="0.35">
      <c r="A245" s="3"/>
      <c r="B245" s="3"/>
      <c r="C245" s="3"/>
      <c r="D245" s="3"/>
      <c r="E245" s="3"/>
      <c r="F245" s="3"/>
      <c r="G245" s="3"/>
    </row>
    <row r="246" spans="1:7" ht="18" customHeight="1" x14ac:dyDescent="0.35">
      <c r="A246" s="3"/>
      <c r="B246" s="3"/>
      <c r="C246" s="3"/>
      <c r="D246" s="3"/>
      <c r="E246" s="3"/>
      <c r="F246" s="3"/>
      <c r="G246" s="3"/>
    </row>
    <row r="247" spans="1:7" ht="18" customHeight="1" x14ac:dyDescent="0.35">
      <c r="A247" s="3"/>
      <c r="B247" s="3"/>
      <c r="C247" s="3"/>
      <c r="D247" s="3"/>
      <c r="E247" s="3"/>
      <c r="F247" s="3"/>
      <c r="G247" s="3"/>
    </row>
    <row r="248" spans="1:7" ht="18" customHeight="1" x14ac:dyDescent="0.35">
      <c r="A248" s="3"/>
      <c r="B248" s="3"/>
      <c r="C248" s="3"/>
      <c r="D248" s="3"/>
      <c r="E248" s="3"/>
      <c r="F248" s="3"/>
      <c r="G248" s="3"/>
    </row>
    <row r="249" spans="1:7" ht="18" customHeight="1" x14ac:dyDescent="0.35">
      <c r="A249" s="3"/>
      <c r="B249" s="3"/>
      <c r="C249" s="3"/>
      <c r="D249" s="3"/>
      <c r="E249" s="3"/>
      <c r="F249" s="3"/>
      <c r="G249" s="3"/>
    </row>
    <row r="250" spans="1:7" ht="18" customHeight="1" x14ac:dyDescent="0.35">
      <c r="A250" s="3"/>
      <c r="B250" s="3"/>
      <c r="C250" s="3"/>
      <c r="D250" s="3"/>
      <c r="E250" s="3"/>
      <c r="F250" s="3"/>
      <c r="G250" s="3"/>
    </row>
    <row r="251" spans="1:7" ht="18" customHeight="1" x14ac:dyDescent="0.35">
      <c r="A251" s="3"/>
      <c r="B251" s="3"/>
      <c r="C251" s="3"/>
      <c r="D251" s="3"/>
      <c r="E251" s="3"/>
      <c r="F251" s="3"/>
      <c r="G251" s="3"/>
    </row>
    <row r="252" spans="1:7" ht="18" customHeight="1" x14ac:dyDescent="0.35">
      <c r="A252" s="3"/>
      <c r="B252" s="3"/>
      <c r="C252" s="3"/>
      <c r="D252" s="3"/>
      <c r="E252" s="3"/>
      <c r="F252" s="3"/>
      <c r="G252" s="3"/>
    </row>
    <row r="253" spans="1:7" ht="18" customHeight="1" x14ac:dyDescent="0.35">
      <c r="A253" s="3"/>
      <c r="B253" s="3"/>
      <c r="C253" s="3"/>
      <c r="D253" s="3"/>
      <c r="E253" s="3"/>
      <c r="F253" s="3"/>
      <c r="G253" s="3"/>
    </row>
    <row r="254" spans="1:7" ht="18" customHeight="1" x14ac:dyDescent="0.35">
      <c r="A254" s="3"/>
      <c r="B254" s="3"/>
      <c r="C254" s="3"/>
      <c r="D254" s="3"/>
      <c r="E254" s="3"/>
      <c r="F254" s="3"/>
      <c r="G254" s="3"/>
    </row>
    <row r="255" spans="1:7" ht="18" customHeight="1" x14ac:dyDescent="0.35">
      <c r="A255" s="3"/>
      <c r="B255" s="3"/>
      <c r="C255" s="3"/>
      <c r="D255" s="3"/>
      <c r="E255" s="3"/>
      <c r="F255" s="3"/>
      <c r="G255" s="3"/>
    </row>
    <row r="256" spans="1:7" ht="18" customHeight="1" x14ac:dyDescent="0.35">
      <c r="A256" s="3"/>
      <c r="B256" s="3"/>
      <c r="C256" s="3"/>
      <c r="D256" s="3"/>
      <c r="E256" s="3"/>
      <c r="F256" s="3"/>
      <c r="G256" s="3"/>
    </row>
    <row r="257" spans="1:7" ht="18" customHeight="1" x14ac:dyDescent="0.35">
      <c r="A257" s="3"/>
      <c r="B257" s="3"/>
      <c r="C257" s="3"/>
      <c r="D257" s="3"/>
      <c r="E257" s="3"/>
      <c r="F257" s="3"/>
      <c r="G257" s="3"/>
    </row>
    <row r="258" spans="1:7" ht="18" customHeight="1" x14ac:dyDescent="0.35">
      <c r="A258" s="3"/>
      <c r="B258" s="3"/>
      <c r="C258" s="3"/>
      <c r="D258" s="3"/>
      <c r="E258" s="3"/>
      <c r="F258" s="3"/>
      <c r="G258" s="3"/>
    </row>
    <row r="259" spans="1:7" ht="18" customHeight="1" x14ac:dyDescent="0.35">
      <c r="A259" s="3"/>
      <c r="B259" s="3"/>
      <c r="C259" s="3"/>
      <c r="D259" s="3"/>
      <c r="E259" s="3"/>
      <c r="F259" s="3"/>
      <c r="G259" s="3"/>
    </row>
    <row r="260" spans="1:7" ht="18" customHeight="1" x14ac:dyDescent="0.35">
      <c r="A260" s="3"/>
      <c r="B260" s="3"/>
      <c r="C260" s="3"/>
      <c r="D260" s="3"/>
      <c r="E260" s="3"/>
      <c r="F260" s="3"/>
      <c r="G260" s="3"/>
    </row>
    <row r="261" spans="1:7" ht="18" customHeight="1" x14ac:dyDescent="0.35">
      <c r="A261" s="3"/>
      <c r="B261" s="3"/>
      <c r="C261" s="3"/>
      <c r="D261" s="3"/>
      <c r="E261" s="3"/>
      <c r="F261" s="3"/>
      <c r="G261" s="3"/>
    </row>
    <row r="262" spans="1:7" ht="18" customHeight="1" x14ac:dyDescent="0.35">
      <c r="A262" s="3"/>
      <c r="B262" s="3"/>
      <c r="C262" s="3"/>
      <c r="D262" s="3"/>
      <c r="E262" s="3"/>
      <c r="F262" s="3"/>
      <c r="G262" s="3"/>
    </row>
    <row r="263" spans="1:7" ht="18" customHeight="1" x14ac:dyDescent="0.35">
      <c r="A263" s="3"/>
      <c r="B263" s="3"/>
      <c r="C263" s="3"/>
      <c r="D263" s="3"/>
      <c r="E263" s="3"/>
      <c r="F263" s="3"/>
      <c r="G263" s="3"/>
    </row>
    <row r="264" spans="1:7" ht="18" customHeight="1" x14ac:dyDescent="0.35">
      <c r="A264" s="3"/>
      <c r="B264" s="3"/>
      <c r="C264" s="3"/>
      <c r="D264" s="3"/>
      <c r="E264" s="3"/>
      <c r="F264" s="3"/>
      <c r="G264" s="3"/>
    </row>
    <row r="265" spans="1:7" ht="18" customHeight="1" x14ac:dyDescent="0.35">
      <c r="A265" s="3"/>
      <c r="B265" s="3"/>
      <c r="C265" s="3"/>
      <c r="D265" s="3"/>
      <c r="E265" s="3"/>
      <c r="F265" s="3"/>
      <c r="G265" s="3"/>
    </row>
    <row r="266" spans="1:7" ht="18" customHeight="1" x14ac:dyDescent="0.35">
      <c r="A266" s="3"/>
      <c r="B266" s="3"/>
      <c r="C266" s="3"/>
      <c r="D266" s="3"/>
      <c r="E266" s="3"/>
      <c r="F266" s="3"/>
      <c r="G266" s="3"/>
    </row>
    <row r="267" spans="1:7" ht="18" customHeight="1" x14ac:dyDescent="0.35">
      <c r="A267" s="3"/>
      <c r="B267" s="3"/>
      <c r="C267" s="3"/>
      <c r="D267" s="3"/>
      <c r="E267" s="3"/>
      <c r="F267" s="3"/>
      <c r="G267" s="3"/>
    </row>
    <row r="268" spans="1:7" ht="18" customHeight="1" x14ac:dyDescent="0.35">
      <c r="A268" s="3"/>
      <c r="B268" s="3"/>
      <c r="C268" s="3"/>
      <c r="D268" s="3"/>
      <c r="E268" s="3"/>
      <c r="F268" s="3"/>
      <c r="G268" s="3"/>
    </row>
    <row r="269" spans="1:7" ht="18" customHeight="1" x14ac:dyDescent="0.35">
      <c r="A269" s="3"/>
      <c r="B269" s="3"/>
      <c r="C269" s="3"/>
      <c r="D269" s="3"/>
      <c r="E269" s="3"/>
      <c r="F269" s="3"/>
      <c r="G269" s="3"/>
    </row>
    <row r="270" spans="1:7" ht="18" customHeight="1" x14ac:dyDescent="0.35">
      <c r="A270" s="3"/>
      <c r="B270" s="3"/>
      <c r="C270" s="3"/>
      <c r="D270" s="3"/>
      <c r="E270" s="3"/>
      <c r="F270" s="3"/>
      <c r="G270" s="3"/>
    </row>
    <row r="271" spans="1:7" ht="18" customHeight="1" x14ac:dyDescent="0.35">
      <c r="A271" s="3"/>
      <c r="B271" s="3"/>
      <c r="C271" s="3"/>
      <c r="D271" s="3"/>
      <c r="E271" s="3"/>
      <c r="F271" s="3"/>
      <c r="G271" s="3"/>
    </row>
    <row r="272" spans="1:7" ht="18" customHeight="1" x14ac:dyDescent="0.35">
      <c r="A272" s="3"/>
      <c r="B272" s="3"/>
      <c r="C272" s="3"/>
      <c r="D272" s="3"/>
      <c r="E272" s="3"/>
      <c r="F272" s="3"/>
      <c r="G272" s="3"/>
    </row>
    <row r="273" spans="1:7" ht="18" customHeight="1" x14ac:dyDescent="0.35">
      <c r="A273" s="3"/>
      <c r="B273" s="3"/>
      <c r="C273" s="3"/>
      <c r="D273" s="3"/>
      <c r="E273" s="3"/>
      <c r="F273" s="3"/>
      <c r="G273" s="3"/>
    </row>
    <row r="274" spans="1:7" ht="18" customHeight="1" x14ac:dyDescent="0.35">
      <c r="A274" s="3"/>
      <c r="B274" s="3"/>
      <c r="C274" s="3"/>
      <c r="D274" s="3"/>
      <c r="E274" s="3"/>
      <c r="F274" s="3"/>
      <c r="G274" s="3"/>
    </row>
    <row r="275" spans="1:7" ht="18" customHeight="1" x14ac:dyDescent="0.35">
      <c r="A275" s="3"/>
      <c r="B275" s="3"/>
      <c r="C275" s="3"/>
      <c r="D275" s="3"/>
      <c r="E275" s="3"/>
      <c r="F275" s="3"/>
      <c r="G275" s="3"/>
    </row>
    <row r="276" spans="1:7" ht="18" customHeight="1" x14ac:dyDescent="0.35">
      <c r="A276" s="3"/>
      <c r="B276" s="3"/>
      <c r="C276" s="3"/>
      <c r="D276" s="3"/>
      <c r="E276" s="3"/>
      <c r="F276" s="3"/>
      <c r="G276" s="3"/>
    </row>
    <row r="277" spans="1:7" ht="18" customHeight="1" x14ac:dyDescent="0.35">
      <c r="A277" s="3"/>
      <c r="B277" s="3"/>
      <c r="C277" s="3"/>
      <c r="D277" s="3"/>
      <c r="E277" s="3"/>
      <c r="F277" s="3"/>
      <c r="G277" s="3"/>
    </row>
    <row r="278" spans="1:7" ht="18" customHeight="1" x14ac:dyDescent="0.35">
      <c r="A278" s="3"/>
      <c r="B278" s="3"/>
      <c r="C278" s="3"/>
      <c r="D278" s="3"/>
      <c r="E278" s="3"/>
      <c r="F278" s="3"/>
      <c r="G278" s="3"/>
    </row>
    <row r="279" spans="1:7" ht="18" customHeight="1" x14ac:dyDescent="0.35">
      <c r="A279" s="3"/>
      <c r="B279" s="3"/>
      <c r="C279" s="3"/>
      <c r="D279" s="3"/>
      <c r="E279" s="3"/>
      <c r="F279" s="3"/>
      <c r="G279" s="3"/>
    </row>
    <row r="280" spans="1:7" ht="18" customHeight="1" x14ac:dyDescent="0.35">
      <c r="A280" s="3"/>
      <c r="B280" s="3"/>
      <c r="C280" s="3"/>
      <c r="D280" s="3"/>
      <c r="E280" s="3"/>
      <c r="F280" s="3"/>
      <c r="G280" s="3"/>
    </row>
    <row r="281" spans="1:7" ht="18" customHeight="1" x14ac:dyDescent="0.35">
      <c r="A281" s="3"/>
      <c r="B281" s="3"/>
      <c r="C281" s="3"/>
      <c r="D281" s="3"/>
      <c r="E281" s="3"/>
      <c r="F281" s="3"/>
      <c r="G281" s="3"/>
    </row>
    <row r="282" spans="1:7" ht="18" customHeight="1" x14ac:dyDescent="0.35">
      <c r="A282" s="3"/>
      <c r="B282" s="3"/>
      <c r="C282" s="3"/>
      <c r="D282" s="3"/>
      <c r="E282" s="3"/>
      <c r="F282" s="3"/>
      <c r="G282" s="3"/>
    </row>
    <row r="283" spans="1:7" ht="18" customHeight="1" x14ac:dyDescent="0.35">
      <c r="A283" s="3"/>
      <c r="B283" s="3"/>
      <c r="C283" s="3"/>
      <c r="D283" s="3"/>
      <c r="E283" s="3"/>
      <c r="F283" s="3"/>
      <c r="G283" s="3"/>
    </row>
    <row r="284" spans="1:7" ht="18" customHeight="1" x14ac:dyDescent="0.35">
      <c r="A284" s="3"/>
      <c r="B284" s="3"/>
      <c r="C284" s="3"/>
      <c r="D284" s="3"/>
      <c r="E284" s="3"/>
      <c r="F284" s="3"/>
      <c r="G284" s="3"/>
    </row>
    <row r="285" spans="1:7" ht="18" customHeight="1" x14ac:dyDescent="0.35">
      <c r="A285" s="3"/>
      <c r="B285" s="3"/>
      <c r="C285" s="3"/>
      <c r="D285" s="3"/>
      <c r="E285" s="3"/>
      <c r="F285" s="3"/>
      <c r="G285" s="3"/>
    </row>
    <row r="286" spans="1:7" ht="18" customHeight="1" x14ac:dyDescent="0.35">
      <c r="A286" s="3"/>
      <c r="B286" s="3"/>
      <c r="C286" s="3"/>
      <c r="D286" s="3"/>
      <c r="E286" s="3"/>
      <c r="F286" s="3"/>
      <c r="G286" s="3"/>
    </row>
    <row r="287" spans="1:7" ht="18" customHeight="1" x14ac:dyDescent="0.35">
      <c r="A287" s="3"/>
      <c r="B287" s="3"/>
      <c r="C287" s="3"/>
      <c r="D287" s="3"/>
      <c r="E287" s="3"/>
      <c r="F287" s="3"/>
      <c r="G287" s="3"/>
    </row>
    <row r="288" spans="1:7" ht="18" customHeight="1" x14ac:dyDescent="0.35">
      <c r="A288" s="3"/>
      <c r="B288" s="3"/>
      <c r="C288" s="3"/>
      <c r="D288" s="3"/>
      <c r="E288" s="3"/>
      <c r="F288" s="3"/>
      <c r="G288" s="3"/>
    </row>
    <row r="289" spans="1:7" ht="18" customHeight="1" x14ac:dyDescent="0.35">
      <c r="A289" s="3"/>
      <c r="B289" s="3"/>
      <c r="C289" s="3"/>
      <c r="D289" s="3"/>
      <c r="E289" s="3"/>
      <c r="F289" s="3"/>
      <c r="G289" s="3"/>
    </row>
    <row r="290" spans="1:7" ht="18" customHeight="1" x14ac:dyDescent="0.35">
      <c r="A290" s="3"/>
      <c r="B290" s="3"/>
      <c r="C290" s="3"/>
      <c r="D290" s="3"/>
      <c r="E290" s="3"/>
      <c r="F290" s="3"/>
      <c r="G290" s="3"/>
    </row>
    <row r="291" spans="1:7" ht="18" customHeight="1" x14ac:dyDescent="0.35">
      <c r="A291" s="3"/>
      <c r="B291" s="3"/>
      <c r="C291" s="3"/>
      <c r="D291" s="3"/>
      <c r="E291" s="3"/>
      <c r="F291" s="3"/>
      <c r="G291" s="3"/>
    </row>
    <row r="292" spans="1:7" ht="18" customHeight="1" x14ac:dyDescent="0.35">
      <c r="A292" s="3"/>
      <c r="B292" s="3"/>
      <c r="C292" s="3"/>
      <c r="D292" s="3"/>
      <c r="E292" s="3"/>
      <c r="F292" s="3"/>
      <c r="G292" s="3"/>
    </row>
    <row r="293" spans="1:7" ht="18" customHeight="1" x14ac:dyDescent="0.35">
      <c r="A293" s="3"/>
      <c r="B293" s="3"/>
      <c r="C293" s="3"/>
      <c r="D293" s="3"/>
      <c r="E293" s="3"/>
      <c r="F293" s="3"/>
      <c r="G293" s="3"/>
    </row>
    <row r="294" spans="1:7" ht="18" customHeight="1" x14ac:dyDescent="0.35">
      <c r="A294" s="3"/>
      <c r="B294" s="3"/>
      <c r="C294" s="3"/>
      <c r="D294" s="3"/>
      <c r="E294" s="3"/>
      <c r="F294" s="3"/>
      <c r="G294" s="3"/>
    </row>
    <row r="295" spans="1:7" ht="18" customHeight="1" x14ac:dyDescent="0.35">
      <c r="A295" s="3"/>
      <c r="B295" s="3"/>
      <c r="C295" s="3"/>
      <c r="D295" s="3"/>
      <c r="E295" s="3"/>
      <c r="F295" s="3"/>
      <c r="G295" s="3"/>
    </row>
    <row r="296" spans="1:7" ht="18" customHeight="1" x14ac:dyDescent="0.35">
      <c r="A296" s="3"/>
      <c r="B296" s="3"/>
      <c r="C296" s="3"/>
      <c r="D296" s="3"/>
      <c r="E296" s="3"/>
      <c r="F296" s="3"/>
      <c r="G296" s="3"/>
    </row>
    <row r="297" spans="1:7" ht="18" customHeight="1" x14ac:dyDescent="0.35">
      <c r="A297" s="3"/>
      <c r="B297" s="3"/>
      <c r="C297" s="3"/>
      <c r="D297" s="3"/>
      <c r="E297" s="3"/>
      <c r="F297" s="3"/>
      <c r="G297" s="3"/>
    </row>
    <row r="298" spans="1:7" ht="18" customHeight="1" x14ac:dyDescent="0.35">
      <c r="A298" s="3"/>
      <c r="B298" s="3"/>
      <c r="C298" s="3"/>
      <c r="D298" s="3"/>
      <c r="E298" s="3"/>
      <c r="F298" s="3"/>
      <c r="G298" s="3"/>
    </row>
    <row r="299" spans="1:7" ht="18" customHeight="1" x14ac:dyDescent="0.35">
      <c r="A299" s="3"/>
      <c r="B299" s="3"/>
      <c r="C299" s="3"/>
      <c r="D299" s="3"/>
      <c r="E299" s="3"/>
      <c r="F299" s="3"/>
      <c r="G299" s="3"/>
    </row>
    <row r="300" spans="1:7" ht="18" customHeight="1" x14ac:dyDescent="0.35">
      <c r="A300" s="3"/>
      <c r="B300" s="3"/>
      <c r="C300" s="3"/>
      <c r="D300" s="3"/>
      <c r="E300" s="3"/>
      <c r="F300" s="3"/>
      <c r="G300" s="3"/>
    </row>
    <row r="301" spans="1:7" ht="18" customHeight="1" x14ac:dyDescent="0.35">
      <c r="A301" s="3"/>
      <c r="B301" s="3"/>
      <c r="C301" s="3"/>
      <c r="D301" s="3"/>
      <c r="E301" s="3"/>
      <c r="F301" s="3"/>
      <c r="G301" s="3"/>
    </row>
    <row r="302" spans="1:7" ht="18" customHeight="1" x14ac:dyDescent="0.35">
      <c r="A302" s="3"/>
      <c r="B302" s="3"/>
      <c r="C302" s="3"/>
      <c r="D302" s="3"/>
      <c r="E302" s="3"/>
      <c r="F302" s="3"/>
      <c r="G302" s="3"/>
    </row>
    <row r="303" spans="1:7" ht="18" customHeight="1" x14ac:dyDescent="0.35">
      <c r="A303" s="3"/>
      <c r="B303" s="3"/>
      <c r="C303" s="3"/>
      <c r="D303" s="3"/>
      <c r="E303" s="3"/>
      <c r="F303" s="3"/>
      <c r="G303" s="3"/>
    </row>
    <row r="304" spans="1:7" ht="18" customHeight="1" x14ac:dyDescent="0.35">
      <c r="A304" s="3"/>
      <c r="B304" s="3"/>
      <c r="C304" s="3"/>
      <c r="D304" s="3"/>
      <c r="E304" s="3"/>
      <c r="F304" s="3"/>
      <c r="G304" s="3"/>
    </row>
    <row r="305" spans="1:7" ht="18" customHeight="1" x14ac:dyDescent="0.35">
      <c r="A305" s="3"/>
      <c r="B305" s="3"/>
      <c r="C305" s="3"/>
      <c r="D305" s="3"/>
      <c r="E305" s="3"/>
      <c r="F305" s="3"/>
      <c r="G305" s="3"/>
    </row>
    <row r="306" spans="1:7" ht="18" customHeight="1" x14ac:dyDescent="0.35">
      <c r="A306" s="3"/>
      <c r="B306" s="3"/>
      <c r="C306" s="3"/>
      <c r="D306" s="3"/>
      <c r="E306" s="3"/>
      <c r="F306" s="3"/>
      <c r="G306" s="3"/>
    </row>
    <row r="307" spans="1:7" ht="18" customHeight="1" x14ac:dyDescent="0.35">
      <c r="A307" s="3"/>
      <c r="B307" s="3"/>
      <c r="C307" s="3"/>
      <c r="D307" s="3"/>
      <c r="E307" s="3"/>
      <c r="F307" s="3"/>
      <c r="G307" s="3"/>
    </row>
    <row r="308" spans="1:7" ht="18" customHeight="1" x14ac:dyDescent="0.35">
      <c r="A308" s="3"/>
      <c r="B308" s="3"/>
      <c r="C308" s="3"/>
      <c r="D308" s="3"/>
      <c r="E308" s="3"/>
      <c r="F308" s="3"/>
      <c r="G308" s="3"/>
    </row>
    <row r="309" spans="1:7" ht="18" customHeight="1" x14ac:dyDescent="0.35">
      <c r="A309" s="3"/>
      <c r="B309" s="3"/>
      <c r="C309" s="3"/>
      <c r="D309" s="3"/>
      <c r="E309" s="3"/>
      <c r="F309" s="3"/>
      <c r="G309" s="3"/>
    </row>
    <row r="310" spans="1:7" ht="18" customHeight="1" x14ac:dyDescent="0.35">
      <c r="A310" s="3"/>
      <c r="B310" s="3"/>
      <c r="C310" s="3"/>
      <c r="D310" s="3"/>
      <c r="E310" s="3"/>
      <c r="F310" s="3"/>
      <c r="G310" s="3"/>
    </row>
    <row r="311" spans="1:7" ht="18" customHeight="1" x14ac:dyDescent="0.35">
      <c r="A311" s="3"/>
      <c r="B311" s="3"/>
      <c r="C311" s="3"/>
      <c r="D311" s="3"/>
      <c r="E311" s="3"/>
      <c r="F311" s="3"/>
      <c r="G311" s="3"/>
    </row>
    <row r="312" spans="1:7" ht="18" customHeight="1" x14ac:dyDescent="0.35">
      <c r="A312" s="3"/>
      <c r="B312" s="3"/>
      <c r="C312" s="3"/>
      <c r="D312" s="3"/>
      <c r="E312" s="3"/>
      <c r="F312" s="3"/>
      <c r="G312" s="3"/>
    </row>
    <row r="313" spans="1:7" ht="18" customHeight="1" x14ac:dyDescent="0.35">
      <c r="A313" s="3"/>
      <c r="B313" s="3"/>
      <c r="C313" s="3"/>
      <c r="D313" s="3"/>
      <c r="E313" s="3"/>
      <c r="F313" s="3"/>
      <c r="G313" s="3"/>
    </row>
    <row r="314" spans="1:7" ht="18" customHeight="1" x14ac:dyDescent="0.35">
      <c r="A314" s="3"/>
      <c r="B314" s="3"/>
      <c r="C314" s="3"/>
      <c r="D314" s="3"/>
      <c r="E314" s="3"/>
      <c r="F314" s="3"/>
      <c r="G314" s="3"/>
    </row>
    <row r="315" spans="1:7" ht="18" customHeight="1" x14ac:dyDescent="0.35">
      <c r="A315" s="3"/>
      <c r="B315" s="3"/>
      <c r="C315" s="3"/>
      <c r="D315" s="3"/>
      <c r="E315" s="3"/>
      <c r="F315" s="3"/>
      <c r="G315" s="3"/>
    </row>
    <row r="316" spans="1:7" ht="18" customHeight="1" x14ac:dyDescent="0.35">
      <c r="A316" s="3"/>
      <c r="B316" s="3"/>
      <c r="C316" s="3"/>
      <c r="D316" s="3"/>
      <c r="E316" s="3"/>
      <c r="F316" s="3"/>
      <c r="G316" s="3"/>
    </row>
    <row r="317" spans="1:7" ht="18" customHeight="1" x14ac:dyDescent="0.35">
      <c r="A317" s="3"/>
      <c r="B317" s="3"/>
      <c r="C317" s="3"/>
      <c r="D317" s="3"/>
      <c r="E317" s="3"/>
      <c r="F317" s="3"/>
      <c r="G317" s="3"/>
    </row>
    <row r="318" spans="1:7" ht="18" customHeight="1" x14ac:dyDescent="0.35">
      <c r="A318" s="3"/>
      <c r="B318" s="3"/>
      <c r="C318" s="3"/>
      <c r="D318" s="3"/>
      <c r="E318" s="3"/>
      <c r="F318" s="3"/>
      <c r="G318" s="3"/>
    </row>
    <row r="319" spans="1:7" ht="18" customHeight="1" x14ac:dyDescent="0.35">
      <c r="A319" s="3"/>
      <c r="B319" s="3"/>
      <c r="C319" s="3"/>
      <c r="D319" s="3"/>
      <c r="E319" s="3"/>
      <c r="F319" s="3"/>
      <c r="G319" s="3"/>
    </row>
    <row r="320" spans="1:7" ht="18" customHeight="1" x14ac:dyDescent="0.35">
      <c r="A320" s="3"/>
      <c r="B320" s="3"/>
      <c r="C320" s="3"/>
      <c r="D320" s="3"/>
      <c r="E320" s="3"/>
      <c r="F320" s="3"/>
      <c r="G320" s="3"/>
    </row>
    <row r="321" spans="1:7" ht="18" customHeight="1" x14ac:dyDescent="0.35">
      <c r="A321" s="3"/>
      <c r="B321" s="3"/>
      <c r="C321" s="3"/>
      <c r="D321" s="3"/>
      <c r="E321" s="3"/>
      <c r="F321" s="3"/>
      <c r="G321" s="3"/>
    </row>
    <row r="322" spans="1:7" ht="18" customHeight="1" x14ac:dyDescent="0.35">
      <c r="A322" s="3"/>
      <c r="B322" s="3"/>
      <c r="C322" s="3"/>
      <c r="D322" s="3"/>
      <c r="E322" s="3"/>
      <c r="F322" s="3"/>
      <c r="G322" s="3"/>
    </row>
    <row r="323" spans="1:7" ht="18" customHeight="1" x14ac:dyDescent="0.35">
      <c r="A323" s="3"/>
      <c r="B323" s="3"/>
      <c r="C323" s="3"/>
      <c r="D323" s="3"/>
      <c r="E323" s="3"/>
      <c r="F323" s="3"/>
      <c r="G323" s="3"/>
    </row>
    <row r="324" spans="1:7" ht="18" customHeight="1" x14ac:dyDescent="0.35">
      <c r="A324" s="3"/>
      <c r="B324" s="3"/>
      <c r="C324" s="3"/>
      <c r="D324" s="3"/>
      <c r="E324" s="3"/>
      <c r="F324" s="3"/>
      <c r="G324" s="3"/>
    </row>
    <row r="325" spans="1:7" ht="18" customHeight="1" x14ac:dyDescent="0.35">
      <c r="A325" s="3"/>
      <c r="B325" s="3"/>
      <c r="C325" s="3"/>
      <c r="D325" s="3"/>
      <c r="E325" s="3"/>
      <c r="F325" s="3"/>
      <c r="G325" s="3"/>
    </row>
    <row r="326" spans="1:7" ht="18" customHeight="1" x14ac:dyDescent="0.35">
      <c r="A326" s="3"/>
      <c r="B326" s="3"/>
      <c r="C326" s="3"/>
      <c r="D326" s="3"/>
      <c r="E326" s="3"/>
      <c r="F326" s="3"/>
      <c r="G326" s="3"/>
    </row>
    <row r="327" spans="1:7" ht="18" customHeight="1" x14ac:dyDescent="0.35">
      <c r="A327" s="3"/>
      <c r="B327" s="3"/>
      <c r="C327" s="3"/>
      <c r="D327" s="3"/>
      <c r="E327" s="3"/>
      <c r="F327" s="3"/>
      <c r="G327" s="3"/>
    </row>
    <row r="328" spans="1:7" ht="18" customHeight="1" x14ac:dyDescent="0.35">
      <c r="A328" s="3"/>
      <c r="B328" s="3"/>
      <c r="C328" s="3"/>
      <c r="D328" s="3"/>
      <c r="E328" s="3"/>
      <c r="F328" s="3"/>
      <c r="G328" s="3"/>
    </row>
    <row r="329" spans="1:7" ht="18" customHeight="1" x14ac:dyDescent="0.35">
      <c r="A329" s="3"/>
      <c r="B329" s="3"/>
      <c r="C329" s="3"/>
      <c r="D329" s="3"/>
      <c r="E329" s="3"/>
      <c r="F329" s="3"/>
      <c r="G329" s="3"/>
    </row>
    <row r="330" spans="1:7" ht="18" customHeight="1" x14ac:dyDescent="0.35">
      <c r="A330" s="3"/>
      <c r="B330" s="3"/>
      <c r="C330" s="3"/>
      <c r="D330" s="3"/>
      <c r="E330" s="3"/>
      <c r="F330" s="3"/>
      <c r="G330" s="3"/>
    </row>
    <row r="331" spans="1:7" ht="18" customHeight="1" x14ac:dyDescent="0.35">
      <c r="A331" s="3"/>
      <c r="B331" s="3"/>
      <c r="C331" s="3"/>
      <c r="D331" s="3"/>
      <c r="E331" s="3"/>
      <c r="F331" s="3"/>
      <c r="G331" s="3"/>
    </row>
    <row r="332" spans="1:7" ht="18" customHeight="1" x14ac:dyDescent="0.35">
      <c r="A332" s="3"/>
      <c r="B332" s="3"/>
      <c r="C332" s="3"/>
      <c r="D332" s="3"/>
      <c r="E332" s="3"/>
      <c r="F332" s="3"/>
      <c r="G332" s="3"/>
    </row>
    <row r="333" spans="1:7" ht="18" customHeight="1" x14ac:dyDescent="0.35">
      <c r="A333" s="3"/>
      <c r="B333" s="3"/>
      <c r="C333" s="3"/>
      <c r="D333" s="3"/>
      <c r="E333" s="3"/>
      <c r="F333" s="3"/>
      <c r="G333" s="3"/>
    </row>
    <row r="334" spans="1:7" ht="18" customHeight="1" x14ac:dyDescent="0.35">
      <c r="A334" s="3"/>
      <c r="B334" s="3"/>
      <c r="C334" s="3"/>
      <c r="D334" s="3"/>
      <c r="E334" s="3"/>
      <c r="F334" s="3"/>
      <c r="G334" s="3"/>
    </row>
    <row r="335" spans="1:7" ht="18" customHeight="1" x14ac:dyDescent="0.35">
      <c r="A335" s="3"/>
      <c r="B335" s="3"/>
      <c r="C335" s="3"/>
      <c r="D335" s="3"/>
      <c r="E335" s="3"/>
      <c r="F335" s="3"/>
      <c r="G335" s="3"/>
    </row>
    <row r="336" spans="1:7" ht="18" customHeight="1" x14ac:dyDescent="0.35">
      <c r="A336" s="3"/>
      <c r="B336" s="3"/>
      <c r="C336" s="3"/>
      <c r="D336" s="3"/>
      <c r="E336" s="3"/>
      <c r="F336" s="3"/>
      <c r="G336" s="3"/>
    </row>
    <row r="337" spans="1:7" ht="18" customHeight="1" x14ac:dyDescent="0.35">
      <c r="A337" s="3"/>
      <c r="B337" s="3"/>
      <c r="C337" s="3"/>
      <c r="D337" s="3"/>
      <c r="E337" s="3"/>
      <c r="F337" s="3"/>
      <c r="G337" s="3"/>
    </row>
    <row r="338" spans="1:7" ht="18" customHeight="1" x14ac:dyDescent="0.35">
      <c r="A338" s="3"/>
      <c r="B338" s="3"/>
      <c r="C338" s="3"/>
      <c r="D338" s="3"/>
      <c r="E338" s="3"/>
      <c r="F338" s="3"/>
      <c r="G338" s="3"/>
    </row>
    <row r="339" spans="1:7" ht="18" customHeight="1" x14ac:dyDescent="0.35">
      <c r="A339" s="3"/>
      <c r="B339" s="3"/>
      <c r="C339" s="3"/>
      <c r="D339" s="3"/>
      <c r="E339" s="3"/>
      <c r="F339" s="3"/>
      <c r="G339" s="3"/>
    </row>
    <row r="340" spans="1:7" ht="18" customHeight="1" x14ac:dyDescent="0.35">
      <c r="A340" s="3"/>
      <c r="B340" s="3"/>
      <c r="C340" s="3"/>
      <c r="D340" s="3"/>
      <c r="E340" s="3"/>
      <c r="F340" s="3"/>
      <c r="G340" s="3"/>
    </row>
    <row r="341" spans="1:7" ht="18" customHeight="1" x14ac:dyDescent="0.35">
      <c r="A341" s="3"/>
      <c r="B341" s="3"/>
      <c r="C341" s="3"/>
      <c r="D341" s="3"/>
      <c r="E341" s="3"/>
      <c r="F341" s="3"/>
      <c r="G341" s="3"/>
    </row>
    <row r="342" spans="1:7" ht="18" customHeight="1" x14ac:dyDescent="0.35">
      <c r="A342" s="3"/>
      <c r="B342" s="3"/>
      <c r="C342" s="3"/>
      <c r="D342" s="3"/>
      <c r="E342" s="3"/>
      <c r="F342" s="3"/>
      <c r="G342" s="3"/>
    </row>
    <row r="343" spans="1:7" ht="18" customHeight="1" x14ac:dyDescent="0.35">
      <c r="A343" s="3"/>
      <c r="B343" s="3"/>
      <c r="C343" s="3"/>
      <c r="D343" s="3"/>
      <c r="E343" s="3"/>
      <c r="F343" s="3"/>
      <c r="G343" s="3"/>
    </row>
    <row r="344" spans="1:7" ht="18" customHeight="1" x14ac:dyDescent="0.35">
      <c r="A344" s="3"/>
      <c r="B344" s="3"/>
      <c r="C344" s="3"/>
      <c r="D344" s="3"/>
      <c r="E344" s="3"/>
      <c r="F344" s="3"/>
      <c r="G344" s="3"/>
    </row>
    <row r="345" spans="1:7" ht="18" customHeight="1" x14ac:dyDescent="0.35">
      <c r="A345" s="3"/>
      <c r="B345" s="3"/>
      <c r="C345" s="3"/>
      <c r="D345" s="3"/>
      <c r="E345" s="3"/>
      <c r="F345" s="3"/>
      <c r="G345" s="3"/>
    </row>
    <row r="346" spans="1:7" ht="18" customHeight="1" x14ac:dyDescent="0.35">
      <c r="A346" s="3"/>
      <c r="B346" s="3"/>
      <c r="C346" s="3"/>
      <c r="D346" s="3"/>
      <c r="E346" s="3"/>
      <c r="F346" s="3"/>
      <c r="G346" s="3"/>
    </row>
    <row r="347" spans="1:7" ht="18" customHeight="1" x14ac:dyDescent="0.35">
      <c r="A347" s="3"/>
      <c r="B347" s="3"/>
      <c r="C347" s="3"/>
      <c r="D347" s="3"/>
      <c r="E347" s="3"/>
      <c r="F347" s="3"/>
      <c r="G347" s="3"/>
    </row>
    <row r="348" spans="1:7" ht="18" customHeight="1" x14ac:dyDescent="0.35">
      <c r="A348" s="3"/>
      <c r="B348" s="3"/>
      <c r="C348" s="3"/>
      <c r="D348" s="3"/>
      <c r="E348" s="3"/>
      <c r="F348" s="3"/>
      <c r="G348" s="3"/>
    </row>
    <row r="349" spans="1:7" ht="18" customHeight="1" x14ac:dyDescent="0.35">
      <c r="A349" s="3"/>
      <c r="B349" s="3"/>
      <c r="C349" s="3"/>
      <c r="D349" s="3"/>
      <c r="E349" s="3"/>
      <c r="F349" s="3"/>
      <c r="G349" s="3"/>
    </row>
    <row r="350" spans="1:7" ht="18" customHeight="1" x14ac:dyDescent="0.35">
      <c r="A350" s="3"/>
      <c r="B350" s="3"/>
      <c r="C350" s="3"/>
      <c r="D350" s="3"/>
      <c r="E350" s="3"/>
      <c r="F350" s="3"/>
      <c r="G350" s="3"/>
    </row>
    <row r="351" spans="1:7" ht="18" customHeight="1" x14ac:dyDescent="0.35">
      <c r="A351" s="3"/>
      <c r="B351" s="3"/>
      <c r="C351" s="3"/>
      <c r="D351" s="3"/>
      <c r="E351" s="3"/>
      <c r="F351" s="3"/>
      <c r="G351" s="3"/>
    </row>
    <row r="352" spans="1:7" ht="18" customHeight="1" x14ac:dyDescent="0.35">
      <c r="A352" s="3"/>
      <c r="B352" s="3"/>
      <c r="C352" s="3"/>
      <c r="D352" s="3"/>
      <c r="E352" s="3"/>
      <c r="F352" s="3"/>
      <c r="G352" s="3"/>
    </row>
    <row r="353" spans="1:7" ht="18" customHeight="1" x14ac:dyDescent="0.35">
      <c r="A353" s="3"/>
      <c r="B353" s="3"/>
      <c r="C353" s="3"/>
      <c r="D353" s="3"/>
      <c r="E353" s="3"/>
      <c r="F353" s="3"/>
      <c r="G353" s="3"/>
    </row>
    <row r="354" spans="1:7" ht="18" customHeight="1" x14ac:dyDescent="0.35">
      <c r="A354" s="3"/>
      <c r="B354" s="3"/>
      <c r="C354" s="3"/>
      <c r="D354" s="3"/>
      <c r="E354" s="3"/>
      <c r="F354" s="3"/>
      <c r="G354" s="3"/>
    </row>
    <row r="355" spans="1:7" ht="18" customHeight="1" x14ac:dyDescent="0.35">
      <c r="A355" s="3"/>
      <c r="B355" s="3"/>
      <c r="C355" s="3"/>
      <c r="D355" s="3"/>
      <c r="E355" s="3"/>
      <c r="F355" s="3"/>
      <c r="G355" s="3"/>
    </row>
    <row r="356" spans="1:7" ht="18" customHeight="1" x14ac:dyDescent="0.35">
      <c r="A356" s="3"/>
      <c r="B356" s="3"/>
      <c r="C356" s="3"/>
      <c r="D356" s="3"/>
      <c r="E356" s="3"/>
      <c r="F356" s="3"/>
      <c r="G356" s="3"/>
    </row>
    <row r="357" spans="1:7" ht="18" customHeight="1" x14ac:dyDescent="0.35">
      <c r="A357" s="3"/>
      <c r="B357" s="3"/>
      <c r="C357" s="3"/>
      <c r="D357" s="3"/>
      <c r="E357" s="3"/>
      <c r="F357" s="3"/>
      <c r="G357" s="3"/>
    </row>
    <row r="358" spans="1:7" ht="18" customHeight="1" x14ac:dyDescent="0.35">
      <c r="A358" s="3"/>
      <c r="B358" s="3"/>
      <c r="C358" s="3"/>
      <c r="D358" s="3"/>
      <c r="E358" s="3"/>
      <c r="F358" s="3"/>
      <c r="G358" s="3"/>
    </row>
    <row r="359" spans="1:7" ht="18" customHeight="1" x14ac:dyDescent="0.35">
      <c r="A359" s="3"/>
      <c r="B359" s="3"/>
      <c r="C359" s="3"/>
      <c r="D359" s="3"/>
      <c r="E359" s="3"/>
      <c r="F359" s="3"/>
      <c r="G359" s="3"/>
    </row>
    <row r="360" spans="1:7" ht="18" customHeight="1" x14ac:dyDescent="0.35">
      <c r="A360" s="3"/>
      <c r="B360" s="3"/>
      <c r="C360" s="3"/>
      <c r="D360" s="3"/>
      <c r="E360" s="3"/>
      <c r="F360" s="3"/>
      <c r="G360" s="3"/>
    </row>
    <row r="361" spans="1:7" ht="18" customHeight="1" x14ac:dyDescent="0.35">
      <c r="A361" s="3"/>
      <c r="B361" s="3"/>
      <c r="C361" s="3"/>
      <c r="D361" s="3"/>
      <c r="E361" s="3"/>
      <c r="F361" s="3"/>
      <c r="G361" s="3"/>
    </row>
    <row r="362" spans="1:7" ht="18" customHeight="1" x14ac:dyDescent="0.35">
      <c r="A362" s="3"/>
      <c r="B362" s="3"/>
      <c r="C362" s="3"/>
      <c r="D362" s="3"/>
      <c r="E362" s="3"/>
      <c r="F362" s="3"/>
      <c r="G362" s="3"/>
    </row>
    <row r="363" spans="1:7" ht="18" customHeight="1" x14ac:dyDescent="0.35">
      <c r="A363" s="3"/>
      <c r="B363" s="3"/>
      <c r="C363" s="3"/>
      <c r="D363" s="3"/>
      <c r="E363" s="3"/>
      <c r="F363" s="3"/>
      <c r="G363" s="3"/>
    </row>
    <row r="364" spans="1:7" ht="18" customHeight="1" x14ac:dyDescent="0.35">
      <c r="A364" s="3"/>
      <c r="B364" s="3"/>
      <c r="C364" s="3"/>
      <c r="D364" s="3"/>
      <c r="E364" s="3"/>
      <c r="F364" s="3"/>
      <c r="G364" s="3"/>
    </row>
    <row r="365" spans="1:7" ht="18" customHeight="1" x14ac:dyDescent="0.35">
      <c r="A365" s="3"/>
      <c r="B365" s="3"/>
      <c r="C365" s="3"/>
      <c r="D365" s="3"/>
      <c r="E365" s="3"/>
      <c r="F365" s="3"/>
      <c r="G365" s="3"/>
    </row>
    <row r="366" spans="1:7" ht="18" customHeight="1" x14ac:dyDescent="0.35">
      <c r="A366" s="3"/>
      <c r="B366" s="3"/>
      <c r="C366" s="3"/>
      <c r="D366" s="3"/>
      <c r="E366" s="3"/>
      <c r="F366" s="3"/>
      <c r="G366" s="3"/>
    </row>
    <row r="367" spans="1:7" ht="18" customHeight="1" x14ac:dyDescent="0.35">
      <c r="A367" s="3"/>
      <c r="B367" s="3"/>
      <c r="C367" s="3"/>
      <c r="D367" s="3"/>
      <c r="E367" s="3"/>
      <c r="F367" s="3"/>
      <c r="G367" s="3"/>
    </row>
    <row r="368" spans="1:7" ht="18" customHeight="1" x14ac:dyDescent="0.35">
      <c r="A368" s="3"/>
      <c r="B368" s="3"/>
      <c r="C368" s="3"/>
      <c r="D368" s="3"/>
      <c r="E368" s="3"/>
      <c r="F368" s="3"/>
      <c r="G368" s="3"/>
    </row>
    <row r="369" spans="1:7" ht="18" customHeight="1" x14ac:dyDescent="0.35">
      <c r="A369" s="3"/>
      <c r="B369" s="3"/>
      <c r="C369" s="3"/>
      <c r="D369" s="3"/>
      <c r="E369" s="3"/>
      <c r="F369" s="3"/>
      <c r="G369" s="3"/>
    </row>
    <row r="370" spans="1:7" ht="18" customHeight="1" x14ac:dyDescent="0.35">
      <c r="A370" s="3"/>
      <c r="B370" s="3"/>
      <c r="C370" s="3"/>
      <c r="D370" s="3"/>
      <c r="E370" s="3"/>
      <c r="F370" s="3"/>
      <c r="G370" s="3"/>
    </row>
    <row r="371" spans="1:7" ht="18" customHeight="1" x14ac:dyDescent="0.35">
      <c r="A371" s="3"/>
      <c r="B371" s="3"/>
      <c r="C371" s="3"/>
      <c r="D371" s="3"/>
      <c r="E371" s="3"/>
      <c r="F371" s="3"/>
      <c r="G371" s="3"/>
    </row>
    <row r="372" spans="1:7" ht="18" customHeight="1" x14ac:dyDescent="0.35">
      <c r="A372" s="3"/>
      <c r="B372" s="3"/>
      <c r="C372" s="3"/>
      <c r="D372" s="3"/>
      <c r="E372" s="3"/>
      <c r="F372" s="3"/>
      <c r="G372" s="3"/>
    </row>
    <row r="373" spans="1:7" ht="18" customHeight="1" x14ac:dyDescent="0.35">
      <c r="A373" s="3"/>
      <c r="B373" s="3"/>
      <c r="C373" s="3"/>
      <c r="D373" s="3"/>
      <c r="E373" s="3"/>
      <c r="F373" s="3"/>
      <c r="G373" s="3"/>
    </row>
    <row r="374" spans="1:7" ht="18" customHeight="1" x14ac:dyDescent="0.35">
      <c r="A374" s="3"/>
      <c r="B374" s="3"/>
      <c r="C374" s="3"/>
      <c r="D374" s="3"/>
      <c r="E374" s="3"/>
      <c r="F374" s="3"/>
      <c r="G374" s="3"/>
    </row>
    <row r="375" spans="1:7" ht="18" customHeight="1" x14ac:dyDescent="0.35">
      <c r="A375" s="3"/>
      <c r="B375" s="3"/>
      <c r="C375" s="3"/>
      <c r="D375" s="3"/>
      <c r="E375" s="3"/>
      <c r="F375" s="3"/>
      <c r="G375" s="3"/>
    </row>
    <row r="376" spans="1:7" ht="18" customHeight="1" x14ac:dyDescent="0.35">
      <c r="A376" s="3"/>
      <c r="B376" s="3"/>
      <c r="C376" s="3"/>
      <c r="D376" s="3"/>
      <c r="E376" s="3"/>
      <c r="F376" s="3"/>
      <c r="G376" s="3"/>
    </row>
    <row r="377" spans="1:7" ht="18" customHeight="1" x14ac:dyDescent="0.35">
      <c r="A377" s="3"/>
      <c r="B377" s="3"/>
      <c r="C377" s="3"/>
      <c r="D377" s="3"/>
      <c r="E377" s="3"/>
      <c r="F377" s="3"/>
      <c r="G377" s="3"/>
    </row>
    <row r="378" spans="1:7" ht="18" customHeight="1" x14ac:dyDescent="0.35">
      <c r="A378" s="3"/>
      <c r="B378" s="3"/>
      <c r="C378" s="3"/>
      <c r="D378" s="3"/>
      <c r="E378" s="3"/>
      <c r="F378" s="3"/>
      <c r="G378" s="3"/>
    </row>
    <row r="379" spans="1:7" ht="18" customHeight="1" x14ac:dyDescent="0.35">
      <c r="A379" s="3"/>
      <c r="B379" s="3"/>
      <c r="C379" s="3"/>
      <c r="D379" s="3"/>
      <c r="E379" s="3"/>
      <c r="F379" s="3"/>
      <c r="G379" s="3"/>
    </row>
    <row r="380" spans="1:7" ht="18" customHeight="1" x14ac:dyDescent="0.35">
      <c r="A380" s="3"/>
      <c r="B380" s="3"/>
      <c r="C380" s="3"/>
      <c r="D380" s="3"/>
      <c r="E380" s="3"/>
      <c r="F380" s="3"/>
      <c r="G380" s="3"/>
    </row>
    <row r="381" spans="1:7" ht="18" customHeight="1" x14ac:dyDescent="0.35">
      <c r="A381" s="3"/>
      <c r="B381" s="3"/>
      <c r="C381" s="3"/>
      <c r="D381" s="3"/>
      <c r="E381" s="3"/>
      <c r="F381" s="3"/>
      <c r="G381" s="3"/>
    </row>
    <row r="382" spans="1:7" ht="18" customHeight="1" x14ac:dyDescent="0.35">
      <c r="A382" s="3"/>
      <c r="B382" s="3"/>
      <c r="C382" s="3"/>
      <c r="D382" s="3"/>
      <c r="E382" s="3"/>
      <c r="F382" s="3"/>
      <c r="G382" s="3"/>
    </row>
    <row r="383" spans="1:7" ht="18" customHeight="1" x14ac:dyDescent="0.35">
      <c r="A383" s="3"/>
      <c r="B383" s="3"/>
      <c r="C383" s="3"/>
      <c r="D383" s="3"/>
      <c r="E383" s="3"/>
      <c r="F383" s="3"/>
      <c r="G383" s="3"/>
    </row>
    <row r="384" spans="1:7" ht="18" customHeight="1" x14ac:dyDescent="0.35">
      <c r="A384" s="3"/>
      <c r="B384" s="3"/>
      <c r="C384" s="3"/>
      <c r="D384" s="3"/>
      <c r="E384" s="3"/>
      <c r="F384" s="3"/>
      <c r="G384" s="3"/>
    </row>
    <row r="385" spans="1:7" ht="18" customHeight="1" x14ac:dyDescent="0.35">
      <c r="A385" s="3"/>
      <c r="B385" s="3"/>
      <c r="C385" s="3"/>
      <c r="D385" s="3"/>
      <c r="E385" s="3"/>
      <c r="F385" s="3"/>
      <c r="G385" s="3"/>
    </row>
    <row r="386" spans="1:7" ht="18" customHeight="1" x14ac:dyDescent="0.35">
      <c r="A386" s="3"/>
      <c r="B386" s="3"/>
      <c r="C386" s="3"/>
      <c r="D386" s="3"/>
      <c r="E386" s="3"/>
      <c r="F386" s="3"/>
      <c r="G386" s="3"/>
    </row>
    <row r="387" spans="1:7" ht="18" customHeight="1" x14ac:dyDescent="0.35">
      <c r="A387" s="3"/>
      <c r="B387" s="3"/>
      <c r="C387" s="3"/>
      <c r="D387" s="3"/>
      <c r="E387" s="3"/>
      <c r="F387" s="3"/>
      <c r="G387" s="3"/>
    </row>
    <row r="388" spans="1:7" ht="18" customHeight="1" x14ac:dyDescent="0.35">
      <c r="A388" s="3"/>
      <c r="B388" s="3"/>
      <c r="C388" s="3"/>
      <c r="D388" s="3"/>
      <c r="E388" s="3"/>
      <c r="F388" s="3"/>
      <c r="G388" s="3"/>
    </row>
    <row r="389" spans="1:7" ht="18" customHeight="1" x14ac:dyDescent="0.35">
      <c r="A389" s="3"/>
      <c r="B389" s="3"/>
      <c r="C389" s="3"/>
      <c r="D389" s="3"/>
      <c r="E389" s="3"/>
      <c r="F389" s="3"/>
      <c r="G389" s="3"/>
    </row>
    <row r="390" spans="1:7" ht="18" customHeight="1" x14ac:dyDescent="0.35">
      <c r="A390" s="3"/>
      <c r="B390" s="3"/>
      <c r="C390" s="3"/>
      <c r="D390" s="3"/>
      <c r="E390" s="3"/>
      <c r="F390" s="3"/>
      <c r="G390" s="3"/>
    </row>
    <row r="391" spans="1:7" ht="18" customHeight="1" x14ac:dyDescent="0.35">
      <c r="A391" s="3"/>
      <c r="B391" s="3"/>
      <c r="C391" s="3"/>
      <c r="D391" s="3"/>
      <c r="E391" s="3"/>
      <c r="F391" s="3"/>
      <c r="G391" s="3"/>
    </row>
    <row r="392" spans="1:7" ht="18" customHeight="1" x14ac:dyDescent="0.35">
      <c r="A392" s="3"/>
      <c r="B392" s="3"/>
      <c r="C392" s="3"/>
      <c r="D392" s="3"/>
      <c r="E392" s="3"/>
      <c r="F392" s="3"/>
      <c r="G392" s="3"/>
    </row>
    <row r="393" spans="1:7" ht="18" customHeight="1" x14ac:dyDescent="0.35">
      <c r="A393" s="3"/>
      <c r="B393" s="3"/>
      <c r="C393" s="3"/>
      <c r="D393" s="3"/>
      <c r="E393" s="3"/>
      <c r="F393" s="3"/>
      <c r="G393" s="3"/>
    </row>
    <row r="394" spans="1:7" ht="18" customHeight="1" x14ac:dyDescent="0.35">
      <c r="A394" s="3"/>
      <c r="B394" s="3"/>
      <c r="C394" s="3"/>
      <c r="D394" s="3"/>
      <c r="E394" s="3"/>
      <c r="F394" s="3"/>
      <c r="G394" s="3"/>
    </row>
    <row r="395" spans="1:7" ht="18" customHeight="1" x14ac:dyDescent="0.35">
      <c r="A395" s="3"/>
      <c r="B395" s="3"/>
      <c r="C395" s="3"/>
      <c r="D395" s="3"/>
      <c r="E395" s="3"/>
      <c r="F395" s="3"/>
      <c r="G395" s="3"/>
    </row>
    <row r="396" spans="1:7" ht="18" customHeight="1" x14ac:dyDescent="0.35">
      <c r="A396" s="3"/>
      <c r="B396" s="3"/>
      <c r="C396" s="3"/>
      <c r="D396" s="3"/>
      <c r="E396" s="3"/>
      <c r="F396" s="3"/>
      <c r="G396" s="3"/>
    </row>
    <row r="397" spans="1:7" ht="18" customHeight="1" x14ac:dyDescent="0.35">
      <c r="A397" s="3"/>
      <c r="B397" s="3"/>
      <c r="C397" s="3"/>
      <c r="D397" s="3"/>
      <c r="E397" s="3"/>
      <c r="F397" s="3"/>
      <c r="G397" s="3"/>
    </row>
    <row r="398" spans="1:7" ht="18" customHeight="1" x14ac:dyDescent="0.35">
      <c r="A398" s="3"/>
      <c r="B398" s="3"/>
      <c r="C398" s="3"/>
      <c r="D398" s="3"/>
      <c r="E398" s="3"/>
      <c r="F398" s="3"/>
      <c r="G398" s="3"/>
    </row>
    <row r="399" spans="1:7" ht="18" customHeight="1" x14ac:dyDescent="0.35">
      <c r="A399" s="3"/>
      <c r="B399" s="3"/>
      <c r="C399" s="3"/>
      <c r="D399" s="3"/>
      <c r="E399" s="3"/>
      <c r="F399" s="3"/>
      <c r="G399" s="3"/>
    </row>
    <row r="400" spans="1:7" ht="18" customHeight="1" x14ac:dyDescent="0.35">
      <c r="A400" s="3"/>
      <c r="B400" s="3"/>
      <c r="C400" s="3"/>
      <c r="D400" s="3"/>
      <c r="E400" s="3"/>
      <c r="F400" s="3"/>
      <c r="G400" s="3"/>
    </row>
    <row r="401" spans="1:7" ht="18" customHeight="1" x14ac:dyDescent="0.35">
      <c r="A401" s="3"/>
      <c r="B401" s="3"/>
      <c r="C401" s="3"/>
      <c r="D401" s="3"/>
      <c r="E401" s="3"/>
      <c r="F401" s="3"/>
      <c r="G401" s="3"/>
    </row>
    <row r="402" spans="1:7" ht="18" customHeight="1" x14ac:dyDescent="0.35">
      <c r="A402" s="3"/>
      <c r="B402" s="3"/>
      <c r="C402" s="3"/>
      <c r="D402" s="3"/>
      <c r="E402" s="3"/>
      <c r="F402" s="3"/>
      <c r="G402" s="3"/>
    </row>
    <row r="403" spans="1:7" ht="18" customHeight="1" x14ac:dyDescent="0.35">
      <c r="A403" s="3"/>
      <c r="B403" s="3"/>
      <c r="C403" s="3"/>
      <c r="D403" s="3"/>
      <c r="E403" s="3"/>
      <c r="F403" s="3"/>
      <c r="G403" s="3"/>
    </row>
    <row r="404" spans="1:7" ht="18" customHeight="1" x14ac:dyDescent="0.35">
      <c r="A404" s="3"/>
      <c r="B404" s="3"/>
      <c r="C404" s="3"/>
      <c r="D404" s="3"/>
      <c r="E404" s="3"/>
      <c r="F404" s="3"/>
      <c r="G404" s="3"/>
    </row>
    <row r="405" spans="1:7" ht="18" customHeight="1" x14ac:dyDescent="0.35">
      <c r="A405" s="3"/>
      <c r="B405" s="3"/>
      <c r="C405" s="3"/>
      <c r="D405" s="3"/>
      <c r="E405" s="3"/>
      <c r="F405" s="3"/>
      <c r="G405" s="3"/>
    </row>
    <row r="406" spans="1:7" ht="18" customHeight="1" x14ac:dyDescent="0.35">
      <c r="A406" s="3"/>
      <c r="B406" s="3"/>
      <c r="C406" s="3"/>
      <c r="D406" s="3"/>
      <c r="E406" s="3"/>
      <c r="F406" s="3"/>
      <c r="G406" s="3"/>
    </row>
    <row r="407" spans="1:7" ht="18" customHeight="1" x14ac:dyDescent="0.35">
      <c r="A407" s="3"/>
      <c r="B407" s="3"/>
      <c r="C407" s="3"/>
      <c r="D407" s="3"/>
      <c r="E407" s="3"/>
      <c r="F407" s="3"/>
      <c r="G407" s="3"/>
    </row>
    <row r="408" spans="1:7" ht="18" customHeight="1" x14ac:dyDescent="0.35">
      <c r="A408" s="3"/>
      <c r="B408" s="3"/>
      <c r="C408" s="3"/>
      <c r="D408" s="3"/>
      <c r="E408" s="3"/>
      <c r="F408" s="3"/>
      <c r="G408" s="3"/>
    </row>
    <row r="409" spans="1:7" ht="18" customHeight="1" x14ac:dyDescent="0.35">
      <c r="A409" s="3"/>
      <c r="B409" s="3"/>
      <c r="C409" s="3"/>
      <c r="D409" s="3"/>
      <c r="E409" s="3"/>
      <c r="F409" s="3"/>
      <c r="G409" s="3"/>
    </row>
    <row r="410" spans="1:7" ht="18" customHeight="1" x14ac:dyDescent="0.35">
      <c r="A410" s="3"/>
      <c r="B410" s="3"/>
      <c r="C410" s="3"/>
      <c r="D410" s="3"/>
      <c r="E410" s="3"/>
      <c r="F410" s="3"/>
      <c r="G410" s="3"/>
    </row>
    <row r="411" spans="1:7" ht="18" customHeight="1" x14ac:dyDescent="0.35">
      <c r="A411" s="3"/>
      <c r="B411" s="3"/>
      <c r="C411" s="3"/>
      <c r="D411" s="3"/>
      <c r="E411" s="3"/>
      <c r="F411" s="3"/>
      <c r="G411" s="3"/>
    </row>
    <row r="412" spans="1:7" ht="18" customHeight="1" x14ac:dyDescent="0.35">
      <c r="A412" s="3"/>
      <c r="B412" s="3"/>
      <c r="C412" s="3"/>
      <c r="D412" s="3"/>
      <c r="E412" s="3"/>
      <c r="F412" s="3"/>
      <c r="G412" s="3"/>
    </row>
    <row r="413" spans="1:7" ht="18" customHeight="1" x14ac:dyDescent="0.35">
      <c r="A413" s="3"/>
      <c r="B413" s="3"/>
      <c r="C413" s="3"/>
      <c r="D413" s="3"/>
      <c r="E413" s="3"/>
      <c r="F413" s="3"/>
      <c r="G413" s="3"/>
    </row>
    <row r="414" spans="1:7" ht="18" customHeight="1" x14ac:dyDescent="0.35">
      <c r="A414" s="3"/>
      <c r="B414" s="3"/>
      <c r="C414" s="3"/>
      <c r="D414" s="3"/>
      <c r="E414" s="3"/>
      <c r="F414" s="3"/>
      <c r="G414" s="3"/>
    </row>
    <row r="415" spans="1:7" ht="18" customHeight="1" x14ac:dyDescent="0.35">
      <c r="A415" s="3"/>
      <c r="B415" s="3"/>
      <c r="C415" s="3"/>
      <c r="D415" s="3"/>
      <c r="E415" s="3"/>
      <c r="F415" s="3"/>
      <c r="G415" s="3"/>
    </row>
    <row r="416" spans="1:7" ht="18" customHeight="1" x14ac:dyDescent="0.35">
      <c r="A416" s="3"/>
      <c r="B416" s="3"/>
      <c r="C416" s="3"/>
      <c r="D416" s="3"/>
      <c r="E416" s="3"/>
      <c r="F416" s="3"/>
      <c r="G416" s="3"/>
    </row>
    <row r="417" spans="1:7" ht="18" customHeight="1" x14ac:dyDescent="0.35">
      <c r="A417" s="3"/>
      <c r="B417" s="3"/>
      <c r="C417" s="3"/>
      <c r="D417" s="3"/>
      <c r="E417" s="3"/>
      <c r="F417" s="3"/>
      <c r="G417" s="3"/>
    </row>
    <row r="418" spans="1:7" ht="18" customHeight="1" x14ac:dyDescent="0.35">
      <c r="A418" s="3"/>
      <c r="B418" s="3"/>
      <c r="C418" s="3"/>
      <c r="D418" s="3"/>
      <c r="E418" s="3"/>
      <c r="F418" s="3"/>
      <c r="G418" s="3"/>
    </row>
    <row r="419" spans="1:7" ht="18" customHeight="1" x14ac:dyDescent="0.35">
      <c r="A419" s="3"/>
      <c r="B419" s="3"/>
      <c r="C419" s="3"/>
      <c r="D419" s="3"/>
      <c r="E419" s="3"/>
      <c r="F419" s="3"/>
      <c r="G419" s="3"/>
    </row>
    <row r="420" spans="1:7" ht="18" customHeight="1" x14ac:dyDescent="0.35">
      <c r="A420" s="3"/>
      <c r="B420" s="3"/>
      <c r="C420" s="3"/>
      <c r="D420" s="3"/>
      <c r="E420" s="3"/>
      <c r="F420" s="3"/>
      <c r="G420" s="3"/>
    </row>
    <row r="421" spans="1:7" ht="18" customHeight="1" x14ac:dyDescent="0.35">
      <c r="A421" s="3"/>
      <c r="B421" s="3"/>
      <c r="C421" s="3"/>
      <c r="D421" s="3"/>
      <c r="E421" s="3"/>
      <c r="F421" s="3"/>
      <c r="G421" s="3"/>
    </row>
    <row r="422" spans="1:7" ht="18" customHeight="1" x14ac:dyDescent="0.35">
      <c r="A422" s="3"/>
      <c r="B422" s="3"/>
      <c r="C422" s="3"/>
      <c r="D422" s="3"/>
      <c r="E422" s="3"/>
      <c r="F422" s="3"/>
      <c r="G422" s="3"/>
    </row>
    <row r="423" spans="1:7" ht="18" customHeight="1" x14ac:dyDescent="0.35">
      <c r="A423" s="3"/>
      <c r="B423" s="3"/>
      <c r="C423" s="3"/>
      <c r="D423" s="3"/>
      <c r="E423" s="3"/>
      <c r="F423" s="3"/>
      <c r="G423" s="3"/>
    </row>
    <row r="424" spans="1:7" ht="18" customHeight="1" x14ac:dyDescent="0.35">
      <c r="A424" s="3"/>
      <c r="B424" s="3"/>
      <c r="C424" s="3"/>
      <c r="D424" s="3"/>
      <c r="E424" s="3"/>
      <c r="F424" s="3"/>
      <c r="G424" s="3"/>
    </row>
    <row r="425" spans="1:7" ht="18" customHeight="1" x14ac:dyDescent="0.35">
      <c r="A425" s="3"/>
      <c r="B425" s="3"/>
      <c r="C425" s="3"/>
      <c r="D425" s="3"/>
      <c r="E425" s="3"/>
      <c r="F425" s="3"/>
      <c r="G425" s="3"/>
    </row>
    <row r="426" spans="1:7" ht="18" customHeight="1" x14ac:dyDescent="0.35">
      <c r="A426" s="3"/>
      <c r="B426" s="3"/>
      <c r="C426" s="3"/>
      <c r="D426" s="3"/>
      <c r="E426" s="3"/>
      <c r="F426" s="3"/>
      <c r="G426" s="3"/>
    </row>
    <row r="427" spans="1:7" ht="18" customHeight="1" x14ac:dyDescent="0.35">
      <c r="A427" s="3"/>
      <c r="B427" s="3"/>
      <c r="C427" s="3"/>
      <c r="D427" s="3"/>
      <c r="E427" s="3"/>
      <c r="F427" s="3"/>
      <c r="G427" s="3"/>
    </row>
    <row r="428" spans="1:7" ht="18" customHeight="1" x14ac:dyDescent="0.35">
      <c r="A428" s="3"/>
      <c r="B428" s="3"/>
      <c r="C428" s="3"/>
      <c r="D428" s="3"/>
      <c r="E428" s="3"/>
      <c r="F428" s="3"/>
      <c r="G428" s="3"/>
    </row>
    <row r="429" spans="1:7" ht="18" customHeight="1" x14ac:dyDescent="0.35">
      <c r="A429" s="3"/>
      <c r="B429" s="3"/>
      <c r="C429" s="3"/>
      <c r="D429" s="3"/>
      <c r="E429" s="3"/>
      <c r="F429" s="3"/>
      <c r="G429" s="3"/>
    </row>
    <row r="430" spans="1:7" ht="18" customHeight="1" x14ac:dyDescent="0.35">
      <c r="A430" s="3"/>
      <c r="B430" s="3"/>
      <c r="C430" s="3"/>
      <c r="D430" s="3"/>
      <c r="E430" s="3"/>
      <c r="F430" s="3"/>
      <c r="G430" s="3"/>
    </row>
    <row r="431" spans="1:7" ht="18" customHeight="1" x14ac:dyDescent="0.35">
      <c r="A431" s="3"/>
      <c r="B431" s="3"/>
      <c r="C431" s="3"/>
      <c r="D431" s="3"/>
      <c r="E431" s="3"/>
      <c r="F431" s="3"/>
      <c r="G431" s="3"/>
    </row>
    <row r="432" spans="1:7" ht="18" customHeight="1" x14ac:dyDescent="0.35">
      <c r="A432" s="3"/>
      <c r="B432" s="3"/>
      <c r="C432" s="3"/>
      <c r="D432" s="3"/>
      <c r="E432" s="3"/>
      <c r="F432" s="3"/>
      <c r="G432" s="3"/>
    </row>
    <row r="433" spans="1:7" ht="18" customHeight="1" x14ac:dyDescent="0.35">
      <c r="A433" s="3"/>
      <c r="B433" s="3"/>
      <c r="C433" s="3"/>
      <c r="D433" s="3"/>
      <c r="E433" s="3"/>
      <c r="F433" s="3"/>
      <c r="G433" s="3"/>
    </row>
    <row r="434" spans="1:7" ht="18" customHeight="1" x14ac:dyDescent="0.35">
      <c r="A434" s="3"/>
      <c r="B434" s="3"/>
      <c r="C434" s="3"/>
      <c r="D434" s="3"/>
      <c r="E434" s="3"/>
      <c r="F434" s="3"/>
      <c r="G434" s="3"/>
    </row>
    <row r="435" spans="1:7" ht="18" customHeight="1" x14ac:dyDescent="0.35">
      <c r="A435" s="3"/>
      <c r="B435" s="3"/>
      <c r="C435" s="3"/>
      <c r="D435" s="3"/>
      <c r="E435" s="3"/>
      <c r="F435" s="3"/>
      <c r="G435" s="3"/>
    </row>
    <row r="436" spans="1:7" ht="18" customHeight="1" x14ac:dyDescent="0.35">
      <c r="A436" s="3"/>
      <c r="B436" s="3"/>
      <c r="C436" s="3"/>
      <c r="D436" s="3"/>
      <c r="E436" s="3"/>
      <c r="F436" s="3"/>
      <c r="G436" s="3"/>
    </row>
    <row r="437" spans="1:7" ht="18" customHeight="1" x14ac:dyDescent="0.35">
      <c r="A437" s="3"/>
      <c r="B437" s="3"/>
      <c r="C437" s="3"/>
      <c r="D437" s="3"/>
      <c r="E437" s="3"/>
      <c r="F437" s="3"/>
      <c r="G437" s="3"/>
    </row>
    <row r="438" spans="1:7" ht="18" customHeight="1" x14ac:dyDescent="0.35">
      <c r="A438" s="3"/>
      <c r="B438" s="3"/>
      <c r="C438" s="3"/>
      <c r="D438" s="3"/>
      <c r="E438" s="3"/>
      <c r="F438" s="3"/>
      <c r="G438" s="3"/>
    </row>
    <row r="439" spans="1:7" ht="18" customHeight="1" x14ac:dyDescent="0.35">
      <c r="A439" s="3"/>
      <c r="B439" s="3"/>
      <c r="C439" s="3"/>
      <c r="D439" s="3"/>
      <c r="E439" s="3"/>
      <c r="F439" s="3"/>
      <c r="G439" s="3"/>
    </row>
    <row r="440" spans="1:7" ht="18" customHeight="1" x14ac:dyDescent="0.35">
      <c r="A440" s="3"/>
      <c r="B440" s="3"/>
      <c r="C440" s="3"/>
      <c r="D440" s="3"/>
      <c r="E440" s="3"/>
      <c r="F440" s="3"/>
      <c r="G440" s="3"/>
    </row>
    <row r="441" spans="1:7" ht="18" customHeight="1" x14ac:dyDescent="0.35">
      <c r="A441" s="3"/>
      <c r="B441" s="3"/>
      <c r="C441" s="3"/>
      <c r="D441" s="3"/>
      <c r="E441" s="3"/>
      <c r="F441" s="3"/>
      <c r="G441" s="3"/>
    </row>
    <row r="442" spans="1:7" ht="18" customHeight="1" x14ac:dyDescent="0.35">
      <c r="A442" s="3"/>
      <c r="B442" s="3"/>
      <c r="C442" s="3"/>
      <c r="D442" s="3"/>
      <c r="E442" s="3"/>
      <c r="F442" s="3"/>
      <c r="G442" s="3"/>
    </row>
    <row r="443" spans="1:7" ht="18" customHeight="1" x14ac:dyDescent="0.35">
      <c r="A443" s="3"/>
      <c r="B443" s="3"/>
      <c r="C443" s="3"/>
      <c r="D443" s="3"/>
      <c r="E443" s="3"/>
      <c r="F443" s="3"/>
      <c r="G443" s="3"/>
    </row>
    <row r="444" spans="1:7" ht="18" customHeight="1" x14ac:dyDescent="0.35">
      <c r="A444" s="3"/>
      <c r="B444" s="3"/>
      <c r="C444" s="3"/>
      <c r="D444" s="3"/>
      <c r="E444" s="3"/>
      <c r="F444" s="3"/>
      <c r="G444" s="3"/>
    </row>
    <row r="445" spans="1:7" ht="18" customHeight="1" x14ac:dyDescent="0.35">
      <c r="A445" s="3"/>
      <c r="B445" s="3"/>
      <c r="C445" s="3"/>
      <c r="D445" s="3"/>
      <c r="E445" s="3"/>
      <c r="F445" s="3"/>
      <c r="G445" s="3"/>
    </row>
    <row r="446" spans="1:7" ht="18" customHeight="1" x14ac:dyDescent="0.35">
      <c r="A446" s="3"/>
      <c r="B446" s="3"/>
      <c r="C446" s="3"/>
      <c r="D446" s="3"/>
      <c r="E446" s="3"/>
      <c r="F446" s="3"/>
      <c r="G446" s="3"/>
    </row>
    <row r="447" spans="1:7" ht="18" customHeight="1" x14ac:dyDescent="0.35">
      <c r="A447" s="3"/>
      <c r="B447" s="3"/>
      <c r="C447" s="3"/>
      <c r="D447" s="3"/>
      <c r="E447" s="3"/>
      <c r="F447" s="3"/>
      <c r="G447" s="3"/>
    </row>
    <row r="448" spans="1:7" ht="18" customHeight="1" x14ac:dyDescent="0.35">
      <c r="A448" s="3"/>
      <c r="B448" s="3"/>
      <c r="C448" s="3"/>
      <c r="D448" s="3"/>
      <c r="E448" s="3"/>
      <c r="F448" s="3"/>
      <c r="G448" s="3"/>
    </row>
    <row r="449" spans="1:7" ht="18" customHeight="1" x14ac:dyDescent="0.35">
      <c r="A449" s="3"/>
      <c r="B449" s="3"/>
      <c r="C449" s="3"/>
      <c r="D449" s="3"/>
      <c r="E449" s="3"/>
      <c r="F449" s="3"/>
      <c r="G449" s="3"/>
    </row>
    <row r="450" spans="1:7" ht="18" customHeight="1" x14ac:dyDescent="0.35">
      <c r="A450" s="3"/>
      <c r="B450" s="3"/>
      <c r="C450" s="3"/>
      <c r="D450" s="3"/>
      <c r="E450" s="3"/>
      <c r="F450" s="3"/>
      <c r="G450" s="3"/>
    </row>
    <row r="451" spans="1:7" ht="18" customHeight="1" x14ac:dyDescent="0.35">
      <c r="A451" s="3"/>
      <c r="B451" s="3"/>
      <c r="C451" s="3"/>
      <c r="D451" s="3"/>
      <c r="E451" s="3"/>
      <c r="F451" s="3"/>
      <c r="G451" s="3"/>
    </row>
    <row r="452" spans="1:7" ht="18" customHeight="1" x14ac:dyDescent="0.35">
      <c r="A452" s="3"/>
      <c r="B452" s="3"/>
      <c r="C452" s="3"/>
      <c r="D452" s="3"/>
      <c r="E452" s="3"/>
      <c r="F452" s="3"/>
      <c r="G452" s="3"/>
    </row>
    <row r="453" spans="1:7" ht="18" customHeight="1" x14ac:dyDescent="0.35">
      <c r="A453" s="3"/>
      <c r="B453" s="3"/>
      <c r="C453" s="3"/>
      <c r="D453" s="3"/>
      <c r="E453" s="3"/>
      <c r="F453" s="3"/>
      <c r="G453" s="3"/>
    </row>
    <row r="454" spans="1:7" ht="18" customHeight="1" x14ac:dyDescent="0.35">
      <c r="A454" s="3"/>
      <c r="B454" s="3"/>
      <c r="C454" s="3"/>
      <c r="D454" s="3"/>
      <c r="E454" s="3"/>
      <c r="F454" s="3"/>
      <c r="G454" s="3"/>
    </row>
    <row r="455" spans="1:7" ht="18" customHeight="1" x14ac:dyDescent="0.35">
      <c r="A455" s="3"/>
      <c r="B455" s="3"/>
      <c r="C455" s="3"/>
      <c r="D455" s="3"/>
      <c r="E455" s="3"/>
      <c r="F455" s="3"/>
      <c r="G455" s="3"/>
    </row>
    <row r="456" spans="1:7" ht="18" customHeight="1" x14ac:dyDescent="0.35">
      <c r="A456" s="3"/>
      <c r="B456" s="3"/>
      <c r="C456" s="3"/>
      <c r="D456" s="3"/>
      <c r="E456" s="3"/>
      <c r="F456" s="3"/>
      <c r="G456" s="3"/>
    </row>
    <row r="457" spans="1:7" ht="18" customHeight="1" x14ac:dyDescent="0.35">
      <c r="A457" s="3"/>
      <c r="B457" s="3"/>
      <c r="C457" s="3"/>
      <c r="D457" s="3"/>
      <c r="E457" s="3"/>
      <c r="F457" s="3"/>
      <c r="G457" s="3"/>
    </row>
    <row r="458" spans="1:7" ht="18" customHeight="1" x14ac:dyDescent="0.35">
      <c r="A458" s="3"/>
      <c r="B458" s="3"/>
      <c r="C458" s="3"/>
      <c r="D458" s="3"/>
      <c r="E458" s="3"/>
      <c r="F458" s="3"/>
      <c r="G458" s="3"/>
    </row>
    <row r="459" spans="1:7" ht="18" customHeight="1" x14ac:dyDescent="0.35">
      <c r="A459" s="3"/>
      <c r="B459" s="3"/>
      <c r="C459" s="3"/>
      <c r="D459" s="3"/>
      <c r="E459" s="3"/>
      <c r="F459" s="3"/>
      <c r="G459" s="3"/>
    </row>
    <row r="460" spans="1:7" ht="18" customHeight="1" x14ac:dyDescent="0.35">
      <c r="A460" s="3"/>
      <c r="B460" s="3"/>
      <c r="C460" s="3"/>
      <c r="D460" s="3"/>
      <c r="E460" s="3"/>
      <c r="F460" s="3"/>
      <c r="G460" s="3"/>
    </row>
    <row r="461" spans="1:7" ht="18" customHeight="1" x14ac:dyDescent="0.35">
      <c r="A461" s="3"/>
      <c r="B461" s="3"/>
      <c r="C461" s="3"/>
      <c r="D461" s="3"/>
      <c r="E461" s="3"/>
      <c r="F461" s="3"/>
      <c r="G461" s="3"/>
    </row>
    <row r="462" spans="1:7" ht="18" customHeight="1" x14ac:dyDescent="0.35">
      <c r="A462" s="3"/>
      <c r="B462" s="3"/>
      <c r="C462" s="3"/>
      <c r="D462" s="3"/>
      <c r="E462" s="3"/>
      <c r="F462" s="3"/>
      <c r="G462" s="3"/>
    </row>
    <row r="463" spans="1:7" ht="18" customHeight="1" x14ac:dyDescent="0.35">
      <c r="A463" s="3"/>
      <c r="B463" s="3"/>
      <c r="C463" s="3"/>
      <c r="D463" s="3"/>
      <c r="E463" s="3"/>
      <c r="F463" s="3"/>
      <c r="G463" s="3"/>
    </row>
    <row r="464" spans="1:7" ht="18" customHeight="1" x14ac:dyDescent="0.35">
      <c r="A464" s="3"/>
      <c r="B464" s="3"/>
      <c r="C464" s="3"/>
      <c r="D464" s="3"/>
      <c r="E464" s="3"/>
      <c r="F464" s="3"/>
      <c r="G464" s="3"/>
    </row>
    <row r="465" spans="1:7" ht="18" customHeight="1" x14ac:dyDescent="0.35">
      <c r="A465" s="3"/>
      <c r="B465" s="3"/>
      <c r="C465" s="3"/>
      <c r="D465" s="3"/>
      <c r="E465" s="3"/>
      <c r="F465" s="3"/>
      <c r="G465" s="3"/>
    </row>
    <row r="466" spans="1:7" ht="18" customHeight="1" x14ac:dyDescent="0.35">
      <c r="A466" s="3"/>
      <c r="B466" s="3"/>
      <c r="C466" s="3"/>
      <c r="D466" s="3"/>
      <c r="E466" s="3"/>
      <c r="F466" s="3"/>
      <c r="G466" s="3"/>
    </row>
    <row r="467" spans="1:7" ht="18" customHeight="1" x14ac:dyDescent="0.35">
      <c r="A467" s="3"/>
      <c r="B467" s="3"/>
      <c r="C467" s="3"/>
      <c r="D467" s="3"/>
      <c r="E467" s="3"/>
      <c r="F467" s="3"/>
      <c r="G467" s="3"/>
    </row>
    <row r="468" spans="1:7" ht="18" customHeight="1" x14ac:dyDescent="0.35">
      <c r="A468" s="3"/>
      <c r="B468" s="3"/>
      <c r="C468" s="3"/>
      <c r="D468" s="3"/>
      <c r="E468" s="3"/>
      <c r="F468" s="3"/>
      <c r="G468" s="3"/>
    </row>
    <row r="469" spans="1:7" ht="18" customHeight="1" x14ac:dyDescent="0.35">
      <c r="A469" s="3"/>
      <c r="B469" s="3"/>
      <c r="C469" s="3"/>
      <c r="D469" s="3"/>
      <c r="E469" s="3"/>
      <c r="F469" s="3"/>
      <c r="G469" s="3"/>
    </row>
    <row r="470" spans="1:7" ht="18" customHeight="1" x14ac:dyDescent="0.35">
      <c r="A470" s="3"/>
      <c r="B470" s="3"/>
      <c r="C470" s="3"/>
      <c r="D470" s="3"/>
      <c r="E470" s="3"/>
      <c r="F470" s="3"/>
      <c r="G470" s="3"/>
    </row>
    <row r="471" spans="1:7" ht="18" customHeight="1" x14ac:dyDescent="0.35">
      <c r="A471" s="3"/>
      <c r="B471" s="3"/>
      <c r="C471" s="3"/>
      <c r="D471" s="3"/>
      <c r="E471" s="3"/>
      <c r="F471" s="3"/>
      <c r="G471" s="3"/>
    </row>
    <row r="472" spans="1:7" ht="18" customHeight="1" x14ac:dyDescent="0.35">
      <c r="A472" s="3"/>
      <c r="B472" s="3"/>
      <c r="C472" s="3"/>
      <c r="D472" s="3"/>
      <c r="E472" s="3"/>
      <c r="F472" s="3"/>
      <c r="G472" s="3"/>
    </row>
    <row r="473" spans="1:7" ht="18" customHeight="1" x14ac:dyDescent="0.35">
      <c r="A473" s="3"/>
      <c r="B473" s="3"/>
      <c r="C473" s="3"/>
      <c r="D473" s="3"/>
      <c r="E473" s="3"/>
      <c r="F473" s="3"/>
      <c r="G473" s="3"/>
    </row>
    <row r="474" spans="1:7" ht="18" customHeight="1" x14ac:dyDescent="0.35">
      <c r="A474" s="3"/>
      <c r="B474" s="3"/>
      <c r="C474" s="3"/>
      <c r="D474" s="3"/>
      <c r="E474" s="3"/>
      <c r="F474" s="3"/>
      <c r="G474" s="3"/>
    </row>
    <row r="475" spans="1:7" ht="18" customHeight="1" x14ac:dyDescent="0.35">
      <c r="A475" s="3"/>
      <c r="B475" s="3"/>
      <c r="C475" s="3"/>
      <c r="D475" s="3"/>
      <c r="E475" s="3"/>
      <c r="F475" s="3"/>
      <c r="G475" s="3"/>
    </row>
    <row r="476" spans="1:7" ht="18" customHeight="1" x14ac:dyDescent="0.35">
      <c r="A476" s="3"/>
      <c r="B476" s="3"/>
      <c r="C476" s="3"/>
      <c r="D476" s="3"/>
      <c r="E476" s="3"/>
      <c r="F476" s="3"/>
      <c r="G476" s="3"/>
    </row>
    <row r="477" spans="1:7" ht="18" customHeight="1" x14ac:dyDescent="0.35">
      <c r="A477" s="3"/>
      <c r="B477" s="3"/>
      <c r="C477" s="3"/>
      <c r="D477" s="3"/>
      <c r="E477" s="3"/>
      <c r="F477" s="3"/>
      <c r="G477" s="3"/>
    </row>
    <row r="478" spans="1:7" ht="18" customHeight="1" x14ac:dyDescent="0.35">
      <c r="A478" s="3"/>
      <c r="B478" s="3"/>
      <c r="C478" s="3"/>
      <c r="D478" s="3"/>
      <c r="E478" s="3"/>
      <c r="F478" s="3"/>
      <c r="G478" s="3"/>
    </row>
    <row r="479" spans="1:7" ht="18" customHeight="1" x14ac:dyDescent="0.35">
      <c r="A479" s="3"/>
      <c r="B479" s="3"/>
      <c r="C479" s="3"/>
      <c r="D479" s="3"/>
      <c r="E479" s="3"/>
      <c r="F479" s="3"/>
      <c r="G479" s="3"/>
    </row>
    <row r="480" spans="1:7" ht="18" customHeight="1" x14ac:dyDescent="0.35">
      <c r="A480" s="3"/>
      <c r="B480" s="3"/>
      <c r="C480" s="3"/>
      <c r="D480" s="3"/>
      <c r="E480" s="3"/>
      <c r="F480" s="3"/>
      <c r="G480" s="3"/>
    </row>
    <row r="481" spans="1:7" ht="18" customHeight="1" x14ac:dyDescent="0.35">
      <c r="A481" s="3"/>
      <c r="B481" s="3"/>
      <c r="C481" s="3"/>
      <c r="D481" s="3"/>
      <c r="E481" s="3"/>
      <c r="F481" s="3"/>
      <c r="G481" s="3"/>
    </row>
    <row r="482" spans="1:7" ht="18" customHeight="1" x14ac:dyDescent="0.35">
      <c r="A482" s="3"/>
      <c r="B482" s="3"/>
      <c r="C482" s="3"/>
      <c r="D482" s="3"/>
      <c r="E482" s="3"/>
      <c r="F482" s="3"/>
      <c r="G482" s="3"/>
    </row>
    <row r="483" spans="1:7" ht="18" customHeight="1" x14ac:dyDescent="0.35">
      <c r="A483" s="3"/>
      <c r="B483" s="3"/>
      <c r="C483" s="3"/>
      <c r="D483" s="3"/>
      <c r="E483" s="3"/>
      <c r="F483" s="3"/>
      <c r="G483" s="3"/>
    </row>
    <row r="484" spans="1:7" ht="18" customHeight="1" x14ac:dyDescent="0.35">
      <c r="A484" s="3"/>
      <c r="B484" s="3"/>
      <c r="C484" s="3"/>
      <c r="D484" s="3"/>
      <c r="E484" s="3"/>
      <c r="F484" s="3"/>
      <c r="G484" s="3"/>
    </row>
    <row r="485" spans="1:7" ht="18" customHeight="1" x14ac:dyDescent="0.35">
      <c r="A485" s="3"/>
      <c r="B485" s="3"/>
      <c r="C485" s="3"/>
      <c r="D485" s="3"/>
      <c r="E485" s="3"/>
      <c r="F485" s="3"/>
      <c r="G485" s="3"/>
    </row>
    <row r="486" spans="1:7" ht="18" customHeight="1" x14ac:dyDescent="0.35">
      <c r="A486" s="3"/>
      <c r="B486" s="3"/>
      <c r="C486" s="3"/>
      <c r="D486" s="3"/>
      <c r="E486" s="3"/>
      <c r="F486" s="3"/>
      <c r="G486" s="3"/>
    </row>
    <row r="487" spans="1:7" ht="18" customHeight="1" x14ac:dyDescent="0.35">
      <c r="A487" s="3"/>
      <c r="B487" s="3"/>
      <c r="C487" s="3"/>
      <c r="D487" s="3"/>
      <c r="E487" s="3"/>
      <c r="F487" s="3"/>
      <c r="G487" s="3"/>
    </row>
    <row r="488" spans="1:7" ht="18" customHeight="1" x14ac:dyDescent="0.35">
      <c r="A488" s="3"/>
      <c r="B488" s="3"/>
      <c r="C488" s="3"/>
      <c r="D488" s="3"/>
      <c r="E488" s="3"/>
      <c r="F488" s="3"/>
      <c r="G488" s="3"/>
    </row>
    <row r="489" spans="1:7" ht="18" customHeight="1" x14ac:dyDescent="0.35">
      <c r="A489" s="3"/>
      <c r="B489" s="3"/>
      <c r="C489" s="3"/>
      <c r="D489" s="3"/>
      <c r="E489" s="3"/>
      <c r="F489" s="3"/>
      <c r="G489" s="3"/>
    </row>
    <row r="490" spans="1:7" ht="18" customHeight="1" x14ac:dyDescent="0.35">
      <c r="A490" s="3"/>
      <c r="B490" s="3"/>
      <c r="C490" s="3"/>
      <c r="D490" s="3"/>
      <c r="E490" s="3"/>
      <c r="F490" s="3"/>
      <c r="G490" s="3"/>
    </row>
    <row r="491" spans="1:7" ht="18" customHeight="1" x14ac:dyDescent="0.35">
      <c r="A491" s="3"/>
      <c r="B491" s="3"/>
      <c r="C491" s="3"/>
      <c r="D491" s="3"/>
      <c r="E491" s="3"/>
      <c r="F491" s="3"/>
      <c r="G491" s="3"/>
    </row>
    <row r="492" spans="1:7" ht="18" customHeight="1" x14ac:dyDescent="0.35">
      <c r="A492" s="3"/>
      <c r="B492" s="3"/>
      <c r="C492" s="3"/>
      <c r="D492" s="3"/>
      <c r="E492" s="3"/>
      <c r="F492" s="3"/>
      <c r="G492" s="3"/>
    </row>
    <row r="493" spans="1:7" ht="18" customHeight="1" x14ac:dyDescent="0.35">
      <c r="A493" s="3"/>
      <c r="B493" s="3"/>
      <c r="C493" s="3"/>
      <c r="D493" s="3"/>
      <c r="E493" s="3"/>
      <c r="F493" s="3"/>
      <c r="G493" s="3"/>
    </row>
    <row r="494" spans="1:7" ht="18" customHeight="1" x14ac:dyDescent="0.35">
      <c r="A494" s="3"/>
      <c r="B494" s="3"/>
      <c r="C494" s="3"/>
      <c r="D494" s="3"/>
      <c r="E494" s="3"/>
      <c r="F494" s="3"/>
      <c r="G494" s="3"/>
    </row>
    <row r="495" spans="1:7" ht="18" customHeight="1" x14ac:dyDescent="0.35">
      <c r="A495" s="3"/>
      <c r="B495" s="3"/>
      <c r="C495" s="3"/>
      <c r="D495" s="3"/>
      <c r="E495" s="3"/>
      <c r="F495" s="3"/>
      <c r="G495" s="3"/>
    </row>
    <row r="496" spans="1:7" ht="18" customHeight="1" x14ac:dyDescent="0.35">
      <c r="A496" s="3"/>
      <c r="B496" s="3"/>
      <c r="C496" s="3"/>
      <c r="D496" s="3"/>
      <c r="E496" s="3"/>
      <c r="F496" s="3"/>
      <c r="G496" s="3"/>
    </row>
    <row r="497" spans="1:7" ht="18" customHeight="1" x14ac:dyDescent="0.35">
      <c r="A497" s="3"/>
      <c r="B497" s="3"/>
      <c r="C497" s="3"/>
      <c r="D497" s="3"/>
      <c r="E497" s="3"/>
      <c r="F497" s="3"/>
      <c r="G497" s="3"/>
    </row>
    <row r="498" spans="1:7" ht="18" customHeight="1" x14ac:dyDescent="0.35">
      <c r="A498" s="3"/>
      <c r="B498" s="3"/>
      <c r="C498" s="3"/>
      <c r="D498" s="3"/>
      <c r="E498" s="3"/>
      <c r="F498" s="3"/>
      <c r="G498" s="3"/>
    </row>
    <row r="499" spans="1:7" ht="18" customHeight="1" x14ac:dyDescent="0.35">
      <c r="A499" s="3"/>
      <c r="B499" s="3"/>
      <c r="C499" s="3"/>
      <c r="D499" s="3"/>
      <c r="E499" s="3"/>
      <c r="F499" s="3"/>
      <c r="G499" s="3"/>
    </row>
    <row r="500" spans="1:7" ht="18" customHeight="1" x14ac:dyDescent="0.35">
      <c r="A500" s="3"/>
      <c r="B500" s="3"/>
      <c r="C500" s="3"/>
      <c r="D500" s="3"/>
      <c r="E500" s="3"/>
      <c r="F500" s="3"/>
      <c r="G500" s="3"/>
    </row>
    <row r="501" spans="1:7" ht="18" customHeight="1" x14ac:dyDescent="0.35">
      <c r="A501" s="3"/>
      <c r="B501" s="3"/>
      <c r="C501" s="3"/>
      <c r="D501" s="3"/>
      <c r="E501" s="3"/>
      <c r="F501" s="3"/>
      <c r="G501" s="3"/>
    </row>
    <row r="502" spans="1:7" ht="18" customHeight="1" x14ac:dyDescent="0.35">
      <c r="A502" s="3"/>
      <c r="B502" s="3"/>
      <c r="C502" s="3"/>
      <c r="D502" s="3"/>
      <c r="E502" s="3"/>
      <c r="F502" s="3"/>
      <c r="G502" s="3"/>
    </row>
    <row r="503" spans="1:7" ht="18" customHeight="1" x14ac:dyDescent="0.35">
      <c r="A503" s="3"/>
      <c r="B503" s="3"/>
      <c r="C503" s="3"/>
      <c r="D503" s="3"/>
      <c r="E503" s="3"/>
      <c r="F503" s="3"/>
      <c r="G503" s="3"/>
    </row>
    <row r="504" spans="1:7" ht="18" customHeight="1" x14ac:dyDescent="0.35">
      <c r="A504" s="3"/>
      <c r="B504" s="3"/>
      <c r="C504" s="3"/>
      <c r="D504" s="3"/>
      <c r="E504" s="3"/>
      <c r="F504" s="3"/>
      <c r="G504" s="3"/>
    </row>
    <row r="505" spans="1:7" ht="18" customHeight="1" x14ac:dyDescent="0.35">
      <c r="A505" s="3"/>
      <c r="B505" s="3"/>
      <c r="C505" s="3"/>
      <c r="D505" s="3"/>
      <c r="E505" s="3"/>
      <c r="F505" s="3"/>
      <c r="G505" s="3"/>
    </row>
    <row r="506" spans="1:7" ht="18" customHeight="1" x14ac:dyDescent="0.35">
      <c r="A506" s="3"/>
      <c r="B506" s="3"/>
      <c r="C506" s="3"/>
      <c r="D506" s="3"/>
      <c r="E506" s="3"/>
      <c r="F506" s="3"/>
      <c r="G506" s="3"/>
    </row>
    <row r="507" spans="1:7" ht="18" customHeight="1" x14ac:dyDescent="0.35">
      <c r="A507" s="3"/>
      <c r="B507" s="3"/>
      <c r="C507" s="3"/>
      <c r="D507" s="3"/>
      <c r="E507" s="3"/>
      <c r="F507" s="3"/>
      <c r="G507" s="3"/>
    </row>
    <row r="508" spans="1:7" ht="18" customHeight="1" x14ac:dyDescent="0.35">
      <c r="A508" s="3"/>
      <c r="B508" s="3"/>
      <c r="C508" s="3"/>
      <c r="D508" s="3"/>
      <c r="E508" s="3"/>
      <c r="F508" s="3"/>
      <c r="G508" s="3"/>
    </row>
    <row r="509" spans="1:7" ht="18" customHeight="1" x14ac:dyDescent="0.35">
      <c r="A509" s="3"/>
      <c r="B509" s="3"/>
      <c r="C509" s="3"/>
      <c r="D509" s="3"/>
      <c r="E509" s="3"/>
      <c r="F509" s="3"/>
      <c r="G509" s="3"/>
    </row>
    <row r="510" spans="1:7" ht="18" customHeight="1" x14ac:dyDescent="0.35">
      <c r="A510" s="3"/>
      <c r="B510" s="3"/>
      <c r="C510" s="3"/>
      <c r="D510" s="3"/>
      <c r="E510" s="3"/>
      <c r="F510" s="3"/>
      <c r="G510" s="3"/>
    </row>
    <row r="511" spans="1:7" ht="18" customHeight="1" x14ac:dyDescent="0.35">
      <c r="A511" s="3"/>
      <c r="B511" s="3"/>
      <c r="C511" s="3"/>
      <c r="D511" s="3"/>
      <c r="E511" s="3"/>
      <c r="F511" s="3"/>
      <c r="G511" s="3"/>
    </row>
    <row r="512" spans="1:7" ht="18" customHeight="1" x14ac:dyDescent="0.35">
      <c r="A512" s="3"/>
      <c r="B512" s="3"/>
      <c r="C512" s="3"/>
      <c r="D512" s="3"/>
      <c r="E512" s="3"/>
      <c r="F512" s="3"/>
      <c r="G512" s="3"/>
    </row>
    <row r="513" spans="1:7" ht="18" customHeight="1" x14ac:dyDescent="0.35">
      <c r="A513" s="3"/>
      <c r="B513" s="3"/>
      <c r="C513" s="3"/>
      <c r="D513" s="3"/>
      <c r="E513" s="3"/>
      <c r="F513" s="3"/>
      <c r="G513" s="3"/>
    </row>
    <row r="514" spans="1:7" ht="18" customHeight="1" x14ac:dyDescent="0.35">
      <c r="A514" s="3"/>
      <c r="B514" s="3"/>
      <c r="C514" s="3"/>
      <c r="D514" s="3"/>
      <c r="E514" s="3"/>
      <c r="F514" s="3"/>
      <c r="G514" s="3"/>
    </row>
    <row r="515" spans="1:7" ht="18" customHeight="1" x14ac:dyDescent="0.35">
      <c r="A515" s="3"/>
      <c r="B515" s="3"/>
      <c r="C515" s="3"/>
      <c r="D515" s="3"/>
      <c r="E515" s="3"/>
      <c r="F515" s="3"/>
      <c r="G515" s="3"/>
    </row>
    <row r="516" spans="1:7" ht="18" customHeight="1" x14ac:dyDescent="0.35">
      <c r="A516" s="3"/>
      <c r="B516" s="3"/>
      <c r="C516" s="3"/>
      <c r="D516" s="3"/>
      <c r="E516" s="3"/>
      <c r="F516" s="3"/>
      <c r="G516" s="3"/>
    </row>
    <row r="517" spans="1:7" ht="18" customHeight="1" x14ac:dyDescent="0.35">
      <c r="A517" s="3"/>
      <c r="B517" s="3"/>
      <c r="C517" s="3"/>
      <c r="D517" s="3"/>
      <c r="E517" s="3"/>
      <c r="F517" s="3"/>
      <c r="G517" s="3"/>
    </row>
    <row r="518" spans="1:7" ht="18" customHeight="1" x14ac:dyDescent="0.35">
      <c r="A518" s="3"/>
      <c r="B518" s="3"/>
      <c r="C518" s="3"/>
      <c r="D518" s="3"/>
      <c r="E518" s="3"/>
      <c r="F518" s="3"/>
      <c r="G518" s="3"/>
    </row>
    <row r="519" spans="1:7" ht="18" customHeight="1" x14ac:dyDescent="0.35">
      <c r="A519" s="3"/>
      <c r="B519" s="3"/>
      <c r="C519" s="3"/>
      <c r="D519" s="3"/>
      <c r="E519" s="3"/>
      <c r="F519" s="3"/>
      <c r="G519" s="3"/>
    </row>
    <row r="520" spans="1:7" ht="18" customHeight="1" x14ac:dyDescent="0.35">
      <c r="A520" s="3"/>
      <c r="B520" s="3"/>
      <c r="C520" s="3"/>
      <c r="D520" s="3"/>
      <c r="E520" s="3"/>
      <c r="F520" s="3"/>
      <c r="G520" s="3"/>
    </row>
    <row r="521" spans="1:7" ht="18" customHeight="1" x14ac:dyDescent="0.35">
      <c r="A521" s="3"/>
      <c r="B521" s="3"/>
      <c r="C521" s="3"/>
      <c r="D521" s="3"/>
      <c r="E521" s="3"/>
      <c r="F521" s="3"/>
      <c r="G521" s="3"/>
    </row>
    <row r="522" spans="1:7" ht="18" customHeight="1" x14ac:dyDescent="0.35">
      <c r="A522" s="3"/>
      <c r="B522" s="3"/>
      <c r="C522" s="3"/>
      <c r="D522" s="3"/>
      <c r="E522" s="3"/>
      <c r="F522" s="3"/>
      <c r="G522" s="3"/>
    </row>
    <row r="523" spans="1:7" ht="18" customHeight="1" x14ac:dyDescent="0.35">
      <c r="A523" s="3"/>
      <c r="B523" s="3"/>
      <c r="C523" s="3"/>
      <c r="D523" s="3"/>
      <c r="E523" s="3"/>
      <c r="F523" s="3"/>
      <c r="G523" s="3"/>
    </row>
    <row r="524" spans="1:7" ht="18" customHeight="1" x14ac:dyDescent="0.35">
      <c r="A524" s="3"/>
      <c r="B524" s="3"/>
      <c r="C524" s="3"/>
      <c r="D524" s="3"/>
      <c r="E524" s="3"/>
      <c r="F524" s="3"/>
      <c r="G524" s="3"/>
    </row>
    <row r="525" spans="1:7" ht="18" customHeight="1" x14ac:dyDescent="0.35">
      <c r="A525" s="3"/>
      <c r="B525" s="3"/>
      <c r="C525" s="3"/>
      <c r="D525" s="3"/>
      <c r="E525" s="3"/>
      <c r="F525" s="3"/>
      <c r="G525" s="3"/>
    </row>
    <row r="526" spans="1:7" ht="18" customHeight="1" x14ac:dyDescent="0.35">
      <c r="A526" s="3"/>
      <c r="B526" s="3"/>
      <c r="C526" s="3"/>
      <c r="D526" s="3"/>
      <c r="E526" s="3"/>
      <c r="F526" s="3"/>
      <c r="G526" s="3"/>
    </row>
    <row r="527" spans="1:7" ht="18" customHeight="1" x14ac:dyDescent="0.35">
      <c r="A527" s="3"/>
      <c r="B527" s="3"/>
      <c r="C527" s="3"/>
      <c r="D527" s="3"/>
      <c r="E527" s="3"/>
      <c r="F527" s="3"/>
      <c r="G527" s="3"/>
    </row>
    <row r="528" spans="1:7" ht="18" customHeight="1" x14ac:dyDescent="0.35">
      <c r="A528" s="3"/>
      <c r="B528" s="3"/>
      <c r="C528" s="3"/>
      <c r="D528" s="3"/>
      <c r="E528" s="3"/>
      <c r="F528" s="3"/>
      <c r="G528" s="3"/>
    </row>
    <row r="529" spans="1:7" ht="18" customHeight="1" x14ac:dyDescent="0.35">
      <c r="A529" s="3"/>
      <c r="B529" s="3"/>
      <c r="C529" s="3"/>
      <c r="D529" s="3"/>
      <c r="E529" s="3"/>
      <c r="F529" s="3"/>
      <c r="G529" s="3"/>
    </row>
    <row r="530" spans="1:7" ht="18" customHeight="1" x14ac:dyDescent="0.35">
      <c r="A530" s="3"/>
      <c r="B530" s="3"/>
      <c r="C530" s="3"/>
      <c r="D530" s="3"/>
      <c r="E530" s="3"/>
      <c r="F530" s="3"/>
      <c r="G530" s="3"/>
    </row>
    <row r="531" spans="1:7" ht="18" customHeight="1" x14ac:dyDescent="0.35">
      <c r="A531" s="3"/>
      <c r="B531" s="3"/>
      <c r="C531" s="3"/>
      <c r="D531" s="3"/>
      <c r="E531" s="3"/>
      <c r="F531" s="3"/>
      <c r="G531" s="3"/>
    </row>
    <row r="532" spans="1:7" ht="18" customHeight="1" x14ac:dyDescent="0.35">
      <c r="A532" s="3"/>
      <c r="B532" s="3"/>
      <c r="C532" s="3"/>
      <c r="D532" s="3"/>
      <c r="E532" s="3"/>
      <c r="F532" s="3"/>
      <c r="G532" s="3"/>
    </row>
    <row r="533" spans="1:7" ht="18" customHeight="1" x14ac:dyDescent="0.35">
      <c r="A533" s="3"/>
      <c r="B533" s="3"/>
      <c r="C533" s="3"/>
      <c r="D533" s="3"/>
      <c r="E533" s="3"/>
      <c r="F533" s="3"/>
      <c r="G533" s="3"/>
    </row>
    <row r="534" spans="1:7" ht="18" customHeight="1" x14ac:dyDescent="0.35">
      <c r="A534" s="3"/>
      <c r="B534" s="3"/>
      <c r="C534" s="3"/>
      <c r="D534" s="3"/>
      <c r="E534" s="3"/>
      <c r="F534" s="3"/>
      <c r="G534" s="3"/>
    </row>
    <row r="535" spans="1:7" ht="18" customHeight="1" x14ac:dyDescent="0.35">
      <c r="A535" s="3"/>
      <c r="B535" s="3"/>
      <c r="C535" s="3"/>
      <c r="D535" s="3"/>
      <c r="E535" s="3"/>
      <c r="F535" s="3"/>
      <c r="G535" s="3"/>
    </row>
    <row r="536" spans="1:7" ht="18" customHeight="1" x14ac:dyDescent="0.35">
      <c r="A536" s="3"/>
      <c r="B536" s="3"/>
      <c r="C536" s="3"/>
      <c r="D536" s="3"/>
      <c r="E536" s="3"/>
      <c r="F536" s="3"/>
      <c r="G536" s="3"/>
    </row>
    <row r="537" spans="1:7" ht="18" customHeight="1" x14ac:dyDescent="0.35">
      <c r="A537" s="3"/>
      <c r="B537" s="3"/>
      <c r="C537" s="3"/>
      <c r="D537" s="3"/>
      <c r="E537" s="3"/>
      <c r="F537" s="3"/>
      <c r="G537" s="3"/>
    </row>
    <row r="538" spans="1:7" ht="18" customHeight="1" x14ac:dyDescent="0.35">
      <c r="A538" s="3"/>
      <c r="B538" s="3"/>
      <c r="C538" s="3"/>
      <c r="D538" s="3"/>
      <c r="E538" s="3"/>
      <c r="F538" s="3"/>
      <c r="G538" s="3"/>
    </row>
    <row r="539" spans="1:7" ht="18" customHeight="1" x14ac:dyDescent="0.35">
      <c r="A539" s="3"/>
      <c r="B539" s="3"/>
      <c r="C539" s="3"/>
      <c r="D539" s="3"/>
      <c r="E539" s="3"/>
      <c r="F539" s="3"/>
      <c r="G539" s="3"/>
    </row>
    <row r="540" spans="1:7" ht="18" customHeight="1" x14ac:dyDescent="0.35">
      <c r="A540" s="3"/>
      <c r="B540" s="3"/>
      <c r="C540" s="3"/>
      <c r="D540" s="3"/>
      <c r="E540" s="3"/>
      <c r="F540" s="3"/>
      <c r="G540" s="3"/>
    </row>
    <row r="541" spans="1:7" ht="18" customHeight="1" x14ac:dyDescent="0.35">
      <c r="A541" s="3"/>
      <c r="B541" s="3"/>
      <c r="C541" s="3"/>
      <c r="D541" s="3"/>
      <c r="E541" s="3"/>
      <c r="F541" s="3"/>
      <c r="G541" s="3"/>
    </row>
    <row r="542" spans="1:7" ht="18" customHeight="1" x14ac:dyDescent="0.35">
      <c r="A542" s="3"/>
      <c r="B542" s="3"/>
      <c r="C542" s="3"/>
      <c r="D542" s="3"/>
      <c r="E542" s="3"/>
      <c r="F542" s="3"/>
      <c r="G542" s="3"/>
    </row>
    <row r="543" spans="1:7" ht="18" customHeight="1" x14ac:dyDescent="0.35">
      <c r="A543" s="3"/>
      <c r="B543" s="3"/>
      <c r="C543" s="3"/>
      <c r="D543" s="3"/>
      <c r="E543" s="3"/>
      <c r="F543" s="3"/>
      <c r="G543" s="3"/>
    </row>
    <row r="544" spans="1:7" ht="18" customHeight="1" x14ac:dyDescent="0.35">
      <c r="A544" s="3"/>
      <c r="B544" s="3"/>
      <c r="C544" s="3"/>
      <c r="D544" s="3"/>
      <c r="E544" s="3"/>
      <c r="F544" s="3"/>
      <c r="G544" s="3"/>
    </row>
    <row r="545" spans="1:7" ht="18" customHeight="1" x14ac:dyDescent="0.35">
      <c r="A545" s="3"/>
      <c r="B545" s="3"/>
      <c r="C545" s="3"/>
      <c r="D545" s="3"/>
      <c r="E545" s="3"/>
      <c r="F545" s="3"/>
      <c r="G545" s="3"/>
    </row>
    <row r="546" spans="1:7" ht="18" customHeight="1" x14ac:dyDescent="0.35">
      <c r="A546" s="3"/>
      <c r="B546" s="3"/>
      <c r="C546" s="3"/>
      <c r="D546" s="3"/>
      <c r="E546" s="3"/>
      <c r="F546" s="3"/>
      <c r="G546" s="3"/>
    </row>
    <row r="547" spans="1:7" ht="18" customHeight="1" x14ac:dyDescent="0.35">
      <c r="A547" s="3"/>
      <c r="B547" s="3"/>
      <c r="C547" s="3"/>
      <c r="D547" s="3"/>
      <c r="E547" s="3"/>
      <c r="F547" s="3"/>
      <c r="G547" s="3"/>
    </row>
    <row r="548" spans="1:7" ht="18" customHeight="1" x14ac:dyDescent="0.35">
      <c r="A548" s="3"/>
      <c r="B548" s="3"/>
      <c r="C548" s="3"/>
      <c r="D548" s="3"/>
      <c r="E548" s="3"/>
      <c r="F548" s="3"/>
      <c r="G548" s="3"/>
    </row>
    <row r="549" spans="1:7" ht="18" customHeight="1" x14ac:dyDescent="0.35">
      <c r="A549" s="3"/>
      <c r="B549" s="3"/>
      <c r="C549" s="3"/>
      <c r="D549" s="3"/>
      <c r="E549" s="3"/>
      <c r="F549" s="3"/>
      <c r="G549" s="3"/>
    </row>
    <row r="550" spans="1:7" ht="18" customHeight="1" x14ac:dyDescent="0.35">
      <c r="A550" s="3"/>
      <c r="B550" s="3"/>
      <c r="C550" s="3"/>
      <c r="D550" s="3"/>
      <c r="E550" s="3"/>
      <c r="F550" s="3"/>
      <c r="G550" s="3"/>
    </row>
    <row r="551" spans="1:7" ht="18" customHeight="1" x14ac:dyDescent="0.35">
      <c r="A551" s="3"/>
      <c r="B551" s="3"/>
      <c r="C551" s="3"/>
      <c r="D551" s="3"/>
      <c r="E551" s="3"/>
      <c r="F551" s="3"/>
      <c r="G551" s="3"/>
    </row>
    <row r="552" spans="1:7" ht="18" customHeight="1" x14ac:dyDescent="0.35">
      <c r="A552" s="3"/>
      <c r="B552" s="3"/>
      <c r="C552" s="3"/>
      <c r="D552" s="3"/>
      <c r="E552" s="3"/>
      <c r="F552" s="3"/>
      <c r="G552" s="3"/>
    </row>
    <row r="553" spans="1:7" ht="18" customHeight="1" x14ac:dyDescent="0.35">
      <c r="A553" s="3"/>
      <c r="B553" s="3"/>
      <c r="C553" s="3"/>
      <c r="D553" s="3"/>
      <c r="E553" s="3"/>
      <c r="F553" s="3"/>
      <c r="G553" s="3"/>
    </row>
    <row r="554" spans="1:7" ht="18" customHeight="1" x14ac:dyDescent="0.35">
      <c r="A554" s="3"/>
      <c r="B554" s="3"/>
      <c r="C554" s="3"/>
      <c r="D554" s="3"/>
      <c r="E554" s="3"/>
      <c r="F554" s="3"/>
      <c r="G554" s="3"/>
    </row>
    <row r="555" spans="1:7" ht="18" customHeight="1" x14ac:dyDescent="0.35">
      <c r="A555" s="3"/>
      <c r="B555" s="3"/>
      <c r="C555" s="3"/>
      <c r="D555" s="3"/>
      <c r="E555" s="3"/>
      <c r="F555" s="3"/>
      <c r="G555" s="3"/>
    </row>
    <row r="556" spans="1:7" ht="18" customHeight="1" x14ac:dyDescent="0.35">
      <c r="A556" s="3"/>
      <c r="B556" s="3"/>
      <c r="C556" s="3"/>
      <c r="D556" s="3"/>
      <c r="E556" s="3"/>
      <c r="F556" s="3"/>
      <c r="G556" s="3"/>
    </row>
    <row r="557" spans="1:7" ht="18" customHeight="1" x14ac:dyDescent="0.35">
      <c r="A557" s="3"/>
      <c r="B557" s="3"/>
      <c r="C557" s="3"/>
      <c r="D557" s="3"/>
      <c r="E557" s="3"/>
      <c r="F557" s="3"/>
      <c r="G557" s="3"/>
    </row>
    <row r="558" spans="1:7" ht="18" customHeight="1" x14ac:dyDescent="0.35">
      <c r="A558" s="3"/>
      <c r="B558" s="3"/>
      <c r="C558" s="3"/>
      <c r="D558" s="3"/>
      <c r="E558" s="3"/>
      <c r="F558" s="3"/>
      <c r="G558" s="3"/>
    </row>
    <row r="559" spans="1:7" ht="18" customHeight="1" x14ac:dyDescent="0.35">
      <c r="A559" s="3"/>
      <c r="B559" s="3"/>
      <c r="C559" s="3"/>
      <c r="D559" s="3"/>
      <c r="E559" s="3"/>
      <c r="F559" s="3"/>
      <c r="G559" s="3"/>
    </row>
    <row r="560" spans="1:7" ht="18" customHeight="1" x14ac:dyDescent="0.35">
      <c r="A560" s="3"/>
      <c r="B560" s="3"/>
      <c r="C560" s="3"/>
      <c r="D560" s="3"/>
      <c r="E560" s="3"/>
      <c r="F560" s="3"/>
      <c r="G560" s="3"/>
    </row>
    <row r="561" spans="1:7" ht="18" customHeight="1" x14ac:dyDescent="0.35">
      <c r="A561" s="3"/>
      <c r="B561" s="3"/>
      <c r="C561" s="3"/>
      <c r="D561" s="3"/>
      <c r="E561" s="3"/>
      <c r="F561" s="3"/>
      <c r="G561" s="3"/>
    </row>
    <row r="562" spans="1:7" ht="18" customHeight="1" x14ac:dyDescent="0.35">
      <c r="A562" s="3"/>
      <c r="B562" s="3"/>
      <c r="C562" s="3"/>
      <c r="D562" s="3"/>
      <c r="E562" s="3"/>
      <c r="F562" s="3"/>
      <c r="G562" s="3"/>
    </row>
    <row r="563" spans="1:7" ht="18" customHeight="1" x14ac:dyDescent="0.35">
      <c r="A563" s="3"/>
      <c r="B563" s="3"/>
      <c r="C563" s="3"/>
      <c r="D563" s="3"/>
      <c r="E563" s="3"/>
      <c r="F563" s="3"/>
      <c r="G563" s="3"/>
    </row>
    <row r="564" spans="1:7" ht="18" customHeight="1" x14ac:dyDescent="0.35">
      <c r="A564" s="3"/>
      <c r="B564" s="3"/>
      <c r="C564" s="3"/>
      <c r="D564" s="3"/>
      <c r="E564" s="3"/>
      <c r="F564" s="3"/>
      <c r="G564" s="3"/>
    </row>
    <row r="565" spans="1:7" ht="18" customHeight="1" x14ac:dyDescent="0.35">
      <c r="A565" s="3"/>
      <c r="B565" s="3"/>
      <c r="C565" s="3"/>
      <c r="D565" s="3"/>
      <c r="E565" s="3"/>
      <c r="F565" s="3"/>
      <c r="G565" s="3"/>
    </row>
    <row r="566" spans="1:7" ht="18" customHeight="1" x14ac:dyDescent="0.35">
      <c r="A566" s="3"/>
      <c r="B566" s="3"/>
      <c r="C566" s="3"/>
      <c r="D566" s="3"/>
      <c r="E566" s="3"/>
      <c r="F566" s="3"/>
      <c r="G566" s="3"/>
    </row>
    <row r="567" spans="1:7" ht="18" customHeight="1" x14ac:dyDescent="0.35">
      <c r="A567" s="3"/>
      <c r="B567" s="3"/>
      <c r="C567" s="3"/>
      <c r="D567" s="3"/>
      <c r="E567" s="3"/>
      <c r="F567" s="3"/>
      <c r="G567" s="3"/>
    </row>
    <row r="568" spans="1:7" ht="18" customHeight="1" x14ac:dyDescent="0.35">
      <c r="A568" s="3"/>
      <c r="B568" s="3"/>
      <c r="C568" s="3"/>
      <c r="D568" s="3"/>
      <c r="E568" s="3"/>
      <c r="F568" s="3"/>
      <c r="G568" s="3"/>
    </row>
    <row r="569" spans="1:7" ht="18" customHeight="1" x14ac:dyDescent="0.35">
      <c r="A569" s="3"/>
      <c r="B569" s="3"/>
      <c r="C569" s="3"/>
      <c r="D569" s="3"/>
      <c r="E569" s="3"/>
      <c r="F569" s="3"/>
      <c r="G569" s="3"/>
    </row>
    <row r="570" spans="1:7" ht="18" customHeight="1" x14ac:dyDescent="0.35">
      <c r="A570" s="3"/>
      <c r="B570" s="3"/>
      <c r="C570" s="3"/>
      <c r="D570" s="3"/>
      <c r="E570" s="3"/>
      <c r="F570" s="3"/>
      <c r="G570" s="3"/>
    </row>
    <row r="571" spans="1:7" ht="18" customHeight="1" x14ac:dyDescent="0.35">
      <c r="A571" s="3"/>
      <c r="B571" s="3"/>
      <c r="C571" s="3"/>
      <c r="D571" s="3"/>
      <c r="E571" s="3"/>
      <c r="F571" s="3"/>
      <c r="G571" s="3"/>
    </row>
    <row r="572" spans="1:7" ht="18" customHeight="1" x14ac:dyDescent="0.35">
      <c r="A572" s="3"/>
      <c r="B572" s="3"/>
      <c r="C572" s="3"/>
      <c r="D572" s="3"/>
      <c r="E572" s="3"/>
      <c r="F572" s="3"/>
      <c r="G572" s="3"/>
    </row>
    <row r="573" spans="1:7" ht="18" customHeight="1" x14ac:dyDescent="0.35">
      <c r="A573" s="3"/>
      <c r="B573" s="3"/>
      <c r="C573" s="3"/>
      <c r="D573" s="3"/>
      <c r="E573" s="3"/>
      <c r="F573" s="3"/>
      <c r="G573" s="3"/>
    </row>
    <row r="574" spans="1:7" ht="18" customHeight="1" x14ac:dyDescent="0.35">
      <c r="A574" s="3"/>
      <c r="B574" s="3"/>
      <c r="C574" s="3"/>
      <c r="D574" s="3"/>
      <c r="E574" s="3"/>
      <c r="F574" s="3"/>
      <c r="G574" s="3"/>
    </row>
    <row r="575" spans="1:7" ht="18" customHeight="1" x14ac:dyDescent="0.35">
      <c r="A575" s="3"/>
      <c r="B575" s="3"/>
      <c r="C575" s="3"/>
      <c r="D575" s="3"/>
      <c r="E575" s="3"/>
      <c r="F575" s="3"/>
      <c r="G575" s="3"/>
    </row>
    <row r="576" spans="1:7" ht="18" customHeight="1" x14ac:dyDescent="0.35">
      <c r="A576" s="3"/>
      <c r="B576" s="3"/>
      <c r="C576" s="3"/>
      <c r="D576" s="3"/>
      <c r="E576" s="3"/>
      <c r="F576" s="3"/>
      <c r="G576" s="3"/>
    </row>
    <row r="577" spans="1:7" ht="18" customHeight="1" x14ac:dyDescent="0.35">
      <c r="A577" s="3"/>
      <c r="B577" s="3"/>
      <c r="C577" s="3"/>
      <c r="D577" s="3"/>
      <c r="E577" s="3"/>
      <c r="F577" s="3"/>
      <c r="G577" s="3"/>
    </row>
    <row r="578" spans="1:7" ht="18" customHeight="1" x14ac:dyDescent="0.35">
      <c r="A578" s="3"/>
      <c r="B578" s="3"/>
      <c r="C578" s="3"/>
      <c r="D578" s="3"/>
      <c r="E578" s="3"/>
      <c r="F578" s="3"/>
      <c r="G578" s="3"/>
    </row>
    <row r="579" spans="1:7" ht="18" customHeight="1" x14ac:dyDescent="0.35">
      <c r="A579" s="3"/>
      <c r="B579" s="3"/>
      <c r="C579" s="3"/>
      <c r="D579" s="3"/>
      <c r="E579" s="3"/>
      <c r="F579" s="3"/>
      <c r="G579" s="3"/>
    </row>
    <row r="580" spans="1:7" ht="18" customHeight="1" x14ac:dyDescent="0.35">
      <c r="A580" s="3"/>
      <c r="B580" s="3"/>
      <c r="C580" s="3"/>
      <c r="D580" s="3"/>
      <c r="E580" s="3"/>
      <c r="F580" s="3"/>
      <c r="G580" s="3"/>
    </row>
    <row r="581" spans="1:7" ht="18" customHeight="1" x14ac:dyDescent="0.35">
      <c r="A581" s="3"/>
      <c r="B581" s="3"/>
      <c r="C581" s="3"/>
      <c r="D581" s="3"/>
      <c r="E581" s="3"/>
      <c r="F581" s="3"/>
      <c r="G581" s="3"/>
    </row>
    <row r="582" spans="1:7" ht="18" customHeight="1" x14ac:dyDescent="0.35">
      <c r="A582" s="3"/>
      <c r="B582" s="3"/>
      <c r="C582" s="3"/>
      <c r="D582" s="3"/>
      <c r="E582" s="3"/>
      <c r="F582" s="3"/>
      <c r="G582" s="3"/>
    </row>
    <row r="583" spans="1:7" ht="18" customHeight="1" x14ac:dyDescent="0.35">
      <c r="A583" s="3"/>
      <c r="B583" s="3"/>
      <c r="C583" s="3"/>
      <c r="D583" s="3"/>
      <c r="E583" s="3"/>
      <c r="F583" s="3"/>
      <c r="G583" s="3"/>
    </row>
    <row r="584" spans="1:7" ht="18" customHeight="1" x14ac:dyDescent="0.35">
      <c r="A584" s="3"/>
      <c r="B584" s="3"/>
      <c r="C584" s="3"/>
      <c r="D584" s="3"/>
      <c r="E584" s="3"/>
      <c r="F584" s="3"/>
      <c r="G584" s="3"/>
    </row>
    <row r="585" spans="1:7" ht="18" customHeight="1" x14ac:dyDescent="0.35">
      <c r="A585" s="3"/>
      <c r="B585" s="3"/>
      <c r="C585" s="3"/>
      <c r="D585" s="3"/>
      <c r="E585" s="3"/>
      <c r="F585" s="3"/>
      <c r="G585" s="3"/>
    </row>
    <row r="586" spans="1:7" ht="18" customHeight="1" x14ac:dyDescent="0.35">
      <c r="A586" s="3"/>
      <c r="B586" s="3"/>
      <c r="C586" s="3"/>
      <c r="D586" s="3"/>
      <c r="E586" s="3"/>
      <c r="F586" s="3"/>
      <c r="G586" s="3"/>
    </row>
    <row r="587" spans="1:7" ht="18" customHeight="1" x14ac:dyDescent="0.35">
      <c r="A587" s="3"/>
      <c r="B587" s="3"/>
      <c r="C587" s="3"/>
      <c r="D587" s="3"/>
      <c r="E587" s="3"/>
      <c r="F587" s="3"/>
      <c r="G587" s="3"/>
    </row>
    <row r="588" spans="1:7" ht="18" customHeight="1" x14ac:dyDescent="0.35">
      <c r="A588" s="3"/>
      <c r="B588" s="3"/>
      <c r="C588" s="3"/>
      <c r="D588" s="3"/>
      <c r="E588" s="3"/>
      <c r="F588" s="3"/>
      <c r="G588" s="3"/>
    </row>
    <row r="589" spans="1:7" ht="18" customHeight="1" x14ac:dyDescent="0.35">
      <c r="A589" s="3"/>
      <c r="B589" s="3"/>
      <c r="C589" s="3"/>
      <c r="D589" s="3"/>
      <c r="E589" s="3"/>
      <c r="F589" s="3"/>
      <c r="G589" s="3"/>
    </row>
    <row r="590" spans="1:7" ht="18" customHeight="1" x14ac:dyDescent="0.35">
      <c r="A590" s="3"/>
      <c r="B590" s="3"/>
      <c r="C590" s="3"/>
      <c r="D590" s="3"/>
      <c r="E590" s="3"/>
      <c r="F590" s="3"/>
      <c r="G590" s="3"/>
    </row>
    <row r="591" spans="1:7" ht="18" customHeight="1" x14ac:dyDescent="0.35">
      <c r="A591" s="3"/>
      <c r="B591" s="3"/>
      <c r="C591" s="3"/>
      <c r="D591" s="3"/>
      <c r="E591" s="3"/>
      <c r="F591" s="3"/>
      <c r="G591" s="3"/>
    </row>
    <row r="592" spans="1:7" ht="18" customHeight="1" x14ac:dyDescent="0.35">
      <c r="A592" s="3"/>
      <c r="B592" s="3"/>
      <c r="C592" s="3"/>
      <c r="D592" s="3"/>
      <c r="E592" s="3"/>
      <c r="F592" s="3"/>
      <c r="G592" s="3"/>
    </row>
    <row r="593" spans="1:7" ht="18" customHeight="1" x14ac:dyDescent="0.35">
      <c r="A593" s="3"/>
      <c r="B593" s="3"/>
      <c r="C593" s="3"/>
      <c r="D593" s="3"/>
      <c r="E593" s="3"/>
      <c r="F593" s="3"/>
      <c r="G593" s="3"/>
    </row>
    <row r="594" spans="1:7" ht="18" customHeight="1" x14ac:dyDescent="0.35">
      <c r="A594" s="3"/>
      <c r="B594" s="3"/>
      <c r="C594" s="3"/>
      <c r="D594" s="3"/>
      <c r="E594" s="3"/>
      <c r="F594" s="3"/>
      <c r="G594" s="3"/>
    </row>
    <row r="595" spans="1:7" ht="18" customHeight="1" x14ac:dyDescent="0.35">
      <c r="A595" s="3"/>
      <c r="B595" s="3"/>
      <c r="C595" s="3"/>
      <c r="D595" s="3"/>
      <c r="E595" s="3"/>
      <c r="F595" s="3"/>
      <c r="G595" s="3"/>
    </row>
    <row r="596" spans="1:7" ht="18" customHeight="1" x14ac:dyDescent="0.35">
      <c r="A596" s="3"/>
      <c r="B596" s="3"/>
      <c r="C596" s="3"/>
      <c r="D596" s="3"/>
      <c r="E596" s="3"/>
      <c r="F596" s="3"/>
      <c r="G596" s="3"/>
    </row>
    <row r="597" spans="1:7" ht="18" customHeight="1" x14ac:dyDescent="0.35">
      <c r="A597" s="3"/>
      <c r="B597" s="3"/>
      <c r="C597" s="3"/>
      <c r="D597" s="3"/>
      <c r="E597" s="3"/>
      <c r="F597" s="3"/>
      <c r="G597" s="3"/>
    </row>
    <row r="598" spans="1:7" ht="18" customHeight="1" x14ac:dyDescent="0.35">
      <c r="A598" s="3"/>
      <c r="B598" s="3"/>
      <c r="C598" s="3"/>
      <c r="D598" s="3"/>
      <c r="E598" s="3"/>
      <c r="F598" s="3"/>
      <c r="G598" s="3"/>
    </row>
    <row r="599" spans="1:7" ht="18" customHeight="1" x14ac:dyDescent="0.35">
      <c r="A599" s="3"/>
      <c r="B599" s="3"/>
      <c r="C599" s="3"/>
      <c r="D599" s="3"/>
      <c r="E599" s="3"/>
      <c r="F599" s="3"/>
      <c r="G599" s="3"/>
    </row>
    <row r="600" spans="1:7" ht="18" customHeight="1" x14ac:dyDescent="0.35">
      <c r="A600" s="3"/>
      <c r="B600" s="3"/>
      <c r="C600" s="3"/>
      <c r="D600" s="3"/>
      <c r="E600" s="3"/>
      <c r="F600" s="3"/>
      <c r="G600" s="3"/>
    </row>
    <row r="601" spans="1:7" ht="18" customHeight="1" x14ac:dyDescent="0.35">
      <c r="A601" s="3"/>
      <c r="B601" s="3"/>
      <c r="C601" s="3"/>
      <c r="D601" s="3"/>
      <c r="E601" s="3"/>
      <c r="F601" s="3"/>
      <c r="G601" s="3"/>
    </row>
    <row r="602" spans="1:7" ht="18" customHeight="1" x14ac:dyDescent="0.35">
      <c r="A602" s="3"/>
      <c r="B602" s="3"/>
      <c r="C602" s="3"/>
      <c r="D602" s="3"/>
      <c r="E602" s="3"/>
      <c r="F602" s="3"/>
      <c r="G602" s="3"/>
    </row>
    <row r="603" spans="1:7" ht="18" customHeight="1" x14ac:dyDescent="0.35">
      <c r="A603" s="3"/>
      <c r="B603" s="3"/>
      <c r="C603" s="3"/>
      <c r="D603" s="3"/>
      <c r="E603" s="3"/>
      <c r="F603" s="3"/>
      <c r="G603" s="3"/>
    </row>
    <row r="604" spans="1:7" ht="18" customHeight="1" x14ac:dyDescent="0.35">
      <c r="A604" s="3"/>
      <c r="B604" s="3"/>
      <c r="C604" s="3"/>
      <c r="D604" s="3"/>
      <c r="E604" s="3"/>
      <c r="F604" s="3"/>
      <c r="G604" s="3"/>
    </row>
    <row r="605" spans="1:7" ht="18" customHeight="1" x14ac:dyDescent="0.35">
      <c r="A605" s="3"/>
      <c r="B605" s="3"/>
      <c r="C605" s="3"/>
      <c r="D605" s="3"/>
      <c r="E605" s="3"/>
      <c r="F605" s="3"/>
      <c r="G605" s="3"/>
    </row>
    <row r="606" spans="1:7" ht="18" customHeight="1" x14ac:dyDescent="0.35">
      <c r="A606" s="3"/>
      <c r="B606" s="3"/>
      <c r="C606" s="3"/>
      <c r="D606" s="3"/>
      <c r="E606" s="3"/>
      <c r="F606" s="3"/>
      <c r="G606" s="3"/>
    </row>
    <row r="607" spans="1:7" ht="18" customHeight="1" x14ac:dyDescent="0.35">
      <c r="A607" s="3"/>
      <c r="B607" s="3"/>
      <c r="C607" s="3"/>
      <c r="D607" s="3"/>
      <c r="E607" s="3"/>
      <c r="F607" s="3"/>
      <c r="G607" s="3"/>
    </row>
    <row r="608" spans="1:7" ht="18" customHeight="1" x14ac:dyDescent="0.35">
      <c r="A608" s="3"/>
      <c r="B608" s="3"/>
      <c r="C608" s="3"/>
      <c r="D608" s="3"/>
      <c r="E608" s="3"/>
      <c r="F608" s="3"/>
      <c r="G608" s="3"/>
    </row>
    <row r="609" spans="1:7" ht="18" customHeight="1" x14ac:dyDescent="0.35">
      <c r="A609" s="3"/>
      <c r="B609" s="3"/>
      <c r="C609" s="3"/>
      <c r="D609" s="3"/>
      <c r="E609" s="3"/>
      <c r="F609" s="3"/>
      <c r="G609" s="3"/>
    </row>
    <row r="610" spans="1:7" ht="18" customHeight="1" x14ac:dyDescent="0.35">
      <c r="A610" s="3"/>
      <c r="B610" s="3"/>
      <c r="C610" s="3"/>
      <c r="D610" s="3"/>
      <c r="E610" s="3"/>
      <c r="F610" s="3"/>
      <c r="G610" s="3"/>
    </row>
    <row r="611" spans="1:7" ht="18" customHeight="1" x14ac:dyDescent="0.35">
      <c r="A611" s="3"/>
      <c r="B611" s="3"/>
      <c r="C611" s="3"/>
      <c r="D611" s="3"/>
      <c r="E611" s="3"/>
      <c r="F611" s="3"/>
      <c r="G611" s="3"/>
    </row>
    <row r="612" spans="1:7" ht="18" customHeight="1" x14ac:dyDescent="0.35">
      <c r="A612" s="3"/>
      <c r="B612" s="3"/>
      <c r="C612" s="3"/>
      <c r="D612" s="3"/>
      <c r="E612" s="3"/>
      <c r="F612" s="3"/>
      <c r="G612" s="3"/>
    </row>
    <row r="613" spans="1:7" ht="18" customHeight="1" x14ac:dyDescent="0.35">
      <c r="A613" s="3"/>
      <c r="B613" s="3"/>
      <c r="C613" s="3"/>
      <c r="D613" s="3"/>
      <c r="E613" s="3"/>
      <c r="F613" s="3"/>
      <c r="G613" s="3"/>
    </row>
    <row r="614" spans="1:7" ht="18" customHeight="1" x14ac:dyDescent="0.35">
      <c r="A614" s="3"/>
      <c r="B614" s="3"/>
      <c r="C614" s="3"/>
      <c r="D614" s="3"/>
      <c r="E614" s="3"/>
      <c r="F614" s="3"/>
      <c r="G614" s="3"/>
    </row>
    <row r="615" spans="1:7" ht="18" customHeight="1" x14ac:dyDescent="0.35">
      <c r="A615" s="3"/>
      <c r="B615" s="3"/>
      <c r="C615" s="3"/>
      <c r="D615" s="3"/>
      <c r="E615" s="3"/>
      <c r="F615" s="3"/>
      <c r="G615" s="3"/>
    </row>
    <row r="616" spans="1:7" ht="18" customHeight="1" x14ac:dyDescent="0.35">
      <c r="A616" s="3"/>
      <c r="B616" s="3"/>
      <c r="C616" s="3"/>
      <c r="D616" s="3"/>
      <c r="E616" s="3"/>
      <c r="F616" s="3"/>
      <c r="G616" s="3"/>
    </row>
    <row r="617" spans="1:7" ht="18" customHeight="1" x14ac:dyDescent="0.35">
      <c r="A617" s="3"/>
      <c r="B617" s="3"/>
      <c r="C617" s="3"/>
      <c r="D617" s="3"/>
      <c r="E617" s="3"/>
      <c r="F617" s="3"/>
      <c r="G617" s="3"/>
    </row>
    <row r="618" spans="1:7" ht="18" customHeight="1" x14ac:dyDescent="0.35">
      <c r="A618" s="3"/>
      <c r="B618" s="3"/>
      <c r="C618" s="3"/>
      <c r="D618" s="3"/>
      <c r="E618" s="3"/>
      <c r="F618" s="3"/>
      <c r="G618" s="3"/>
    </row>
    <row r="619" spans="1:7" ht="18" customHeight="1" x14ac:dyDescent="0.35">
      <c r="A619" s="3"/>
      <c r="B619" s="3"/>
      <c r="C619" s="3"/>
      <c r="D619" s="3"/>
      <c r="E619" s="3"/>
      <c r="F619" s="3"/>
      <c r="G619" s="3"/>
    </row>
    <row r="620" spans="1:7" ht="18" customHeight="1" x14ac:dyDescent="0.35">
      <c r="A620" s="3"/>
      <c r="B620" s="3"/>
      <c r="C620" s="3"/>
      <c r="D620" s="3"/>
      <c r="E620" s="3"/>
      <c r="F620" s="3"/>
      <c r="G620" s="3"/>
    </row>
    <row r="621" spans="1:7" ht="18" customHeight="1" x14ac:dyDescent="0.35">
      <c r="A621" s="3"/>
      <c r="B621" s="3"/>
      <c r="C621" s="3"/>
      <c r="D621" s="3"/>
      <c r="E621" s="3"/>
      <c r="F621" s="3"/>
      <c r="G621" s="3"/>
    </row>
    <row r="622" spans="1:7" ht="18" customHeight="1" x14ac:dyDescent="0.35">
      <c r="A622" s="3"/>
      <c r="B622" s="3"/>
      <c r="C622" s="3"/>
      <c r="D622" s="3"/>
      <c r="E622" s="3"/>
      <c r="F622" s="3"/>
      <c r="G622" s="3"/>
    </row>
    <row r="623" spans="1:7" ht="18" customHeight="1" x14ac:dyDescent="0.35">
      <c r="A623" s="3"/>
      <c r="B623" s="3"/>
      <c r="C623" s="3"/>
      <c r="D623" s="3"/>
      <c r="E623" s="3"/>
      <c r="F623" s="3"/>
      <c r="G623" s="3"/>
    </row>
    <row r="624" spans="1:7" ht="18" customHeight="1" x14ac:dyDescent="0.35">
      <c r="A624" s="3"/>
      <c r="B624" s="3"/>
      <c r="C624" s="3"/>
      <c r="D624" s="3"/>
      <c r="E624" s="3"/>
      <c r="F624" s="3"/>
      <c r="G624" s="3"/>
    </row>
    <row r="625" spans="1:7" ht="18" customHeight="1" x14ac:dyDescent="0.35">
      <c r="A625" s="3"/>
      <c r="B625" s="3"/>
      <c r="C625" s="3"/>
      <c r="D625" s="3"/>
      <c r="E625" s="3"/>
      <c r="F625" s="3"/>
      <c r="G625" s="3"/>
    </row>
    <row r="626" spans="1:7" ht="18" customHeight="1" x14ac:dyDescent="0.35">
      <c r="A626" s="3"/>
      <c r="B626" s="3"/>
      <c r="C626" s="3"/>
      <c r="D626" s="3"/>
      <c r="E626" s="3"/>
      <c r="F626" s="3"/>
      <c r="G626" s="3"/>
    </row>
    <row r="627" spans="1:7" ht="18" customHeight="1" x14ac:dyDescent="0.35">
      <c r="A627" s="3"/>
      <c r="B627" s="3"/>
      <c r="C627" s="3"/>
      <c r="D627" s="3"/>
      <c r="E627" s="3"/>
      <c r="F627" s="3"/>
      <c r="G627" s="3"/>
    </row>
    <row r="628" spans="1:7" ht="18" customHeight="1" x14ac:dyDescent="0.35">
      <c r="A628" s="3"/>
      <c r="B628" s="3"/>
      <c r="C628" s="3"/>
      <c r="D628" s="3"/>
      <c r="E628" s="3"/>
      <c r="F628" s="3"/>
      <c r="G628" s="3"/>
    </row>
    <row r="629" spans="1:7" ht="18" customHeight="1" x14ac:dyDescent="0.35">
      <c r="A629" s="3"/>
      <c r="B629" s="3"/>
      <c r="C629" s="3"/>
      <c r="D629" s="3"/>
      <c r="E629" s="3"/>
      <c r="F629" s="3"/>
      <c r="G629" s="3"/>
    </row>
    <row r="630" spans="1:7" ht="18" customHeight="1" x14ac:dyDescent="0.35">
      <c r="A630" s="3"/>
      <c r="B630" s="3"/>
      <c r="C630" s="3"/>
      <c r="D630" s="3"/>
      <c r="E630" s="3"/>
      <c r="F630" s="3"/>
      <c r="G630" s="3"/>
    </row>
    <row r="631" spans="1:7" ht="18" customHeight="1" x14ac:dyDescent="0.35">
      <c r="A631" s="3"/>
      <c r="B631" s="3"/>
      <c r="C631" s="3"/>
      <c r="D631" s="3"/>
      <c r="E631" s="3"/>
      <c r="F631" s="3"/>
      <c r="G631" s="3"/>
    </row>
    <row r="632" spans="1:7" ht="18" customHeight="1" x14ac:dyDescent="0.35">
      <c r="A632" s="3"/>
      <c r="B632" s="3"/>
      <c r="C632" s="3"/>
      <c r="D632" s="3"/>
      <c r="E632" s="3"/>
      <c r="F632" s="3"/>
      <c r="G632" s="3"/>
    </row>
    <row r="633" spans="1:7" ht="18" customHeight="1" x14ac:dyDescent="0.35">
      <c r="A633" s="3"/>
      <c r="B633" s="3"/>
      <c r="C633" s="3"/>
      <c r="D633" s="3"/>
      <c r="E633" s="3"/>
      <c r="F633" s="3"/>
      <c r="G633" s="3"/>
    </row>
    <row r="634" spans="1:7" ht="18" customHeight="1" x14ac:dyDescent="0.35">
      <c r="A634" s="3"/>
      <c r="B634" s="3"/>
      <c r="C634" s="3"/>
      <c r="D634" s="3"/>
      <c r="E634" s="3"/>
      <c r="F634" s="3"/>
      <c r="G634" s="3"/>
    </row>
    <row r="635" spans="1:7" ht="18" customHeight="1" x14ac:dyDescent="0.35">
      <c r="A635" s="3"/>
      <c r="B635" s="3"/>
      <c r="C635" s="3"/>
      <c r="D635" s="3"/>
      <c r="E635" s="3"/>
      <c r="F635" s="3"/>
      <c r="G635" s="3"/>
    </row>
    <row r="636" spans="1:7" ht="18" customHeight="1" x14ac:dyDescent="0.35">
      <c r="A636" s="3"/>
      <c r="B636" s="3"/>
      <c r="C636" s="3"/>
      <c r="D636" s="3"/>
      <c r="E636" s="3"/>
      <c r="F636" s="3"/>
      <c r="G636" s="3"/>
    </row>
    <row r="637" spans="1:7" ht="18" customHeight="1" x14ac:dyDescent="0.35">
      <c r="A637" s="3"/>
      <c r="B637" s="3"/>
      <c r="C637" s="3"/>
      <c r="D637" s="3"/>
      <c r="E637" s="3"/>
      <c r="F637" s="3"/>
      <c r="G637" s="3"/>
    </row>
    <row r="638" spans="1:7" ht="18" customHeight="1" x14ac:dyDescent="0.35">
      <c r="A638" s="3"/>
      <c r="B638" s="3"/>
      <c r="C638" s="3"/>
      <c r="D638" s="3"/>
      <c r="E638" s="3"/>
      <c r="F638" s="3"/>
      <c r="G638" s="3"/>
    </row>
    <row r="639" spans="1:7" ht="18" customHeight="1" x14ac:dyDescent="0.35">
      <c r="A639" s="3"/>
      <c r="B639" s="3"/>
      <c r="C639" s="3"/>
      <c r="D639" s="3"/>
      <c r="E639" s="3"/>
      <c r="F639" s="3"/>
      <c r="G639" s="3"/>
    </row>
    <row r="640" spans="1:7" ht="18" customHeight="1" x14ac:dyDescent="0.35">
      <c r="A640" s="3"/>
      <c r="B640" s="3"/>
      <c r="C640" s="3"/>
      <c r="D640" s="3"/>
      <c r="E640" s="3"/>
      <c r="F640" s="3"/>
      <c r="G640" s="3"/>
    </row>
    <row r="641" spans="1:7" ht="18" customHeight="1" x14ac:dyDescent="0.35">
      <c r="A641" s="3"/>
      <c r="B641" s="3"/>
      <c r="C641" s="3"/>
      <c r="D641" s="3"/>
      <c r="E641" s="3"/>
      <c r="F641" s="3"/>
      <c r="G641" s="3"/>
    </row>
    <row r="642" spans="1:7" ht="18" customHeight="1" x14ac:dyDescent="0.35">
      <c r="A642" s="3"/>
      <c r="B642" s="3"/>
      <c r="C642" s="3"/>
      <c r="D642" s="3"/>
      <c r="E642" s="3"/>
      <c r="F642" s="3"/>
      <c r="G642" s="3"/>
    </row>
    <row r="643" spans="1:7" ht="18" customHeight="1" x14ac:dyDescent="0.35">
      <c r="A643" s="3"/>
      <c r="B643" s="3"/>
      <c r="C643" s="3"/>
      <c r="D643" s="3"/>
      <c r="E643" s="3"/>
      <c r="F643" s="3"/>
      <c r="G643" s="3"/>
    </row>
    <row r="644" spans="1:7" ht="18" customHeight="1" x14ac:dyDescent="0.35">
      <c r="A644" s="3"/>
      <c r="B644" s="3"/>
      <c r="C644" s="3"/>
      <c r="D644" s="3"/>
      <c r="E644" s="3"/>
      <c r="F644" s="3"/>
      <c r="G644" s="3"/>
    </row>
    <row r="645" spans="1:7" ht="18" customHeight="1" x14ac:dyDescent="0.35">
      <c r="A645" s="3"/>
      <c r="B645" s="3"/>
      <c r="C645" s="3"/>
      <c r="D645" s="3"/>
      <c r="E645" s="3"/>
      <c r="F645" s="3"/>
      <c r="G645" s="3"/>
    </row>
    <row r="646" spans="1:7" ht="18" customHeight="1" x14ac:dyDescent="0.35">
      <c r="A646" s="3"/>
      <c r="B646" s="3"/>
      <c r="C646" s="3"/>
      <c r="D646" s="3"/>
      <c r="E646" s="3"/>
      <c r="F646" s="3"/>
      <c r="G646" s="3"/>
    </row>
    <row r="647" spans="1:7" ht="18" customHeight="1" x14ac:dyDescent="0.35">
      <c r="A647" s="3"/>
      <c r="B647" s="3"/>
      <c r="C647" s="3"/>
      <c r="D647" s="3"/>
      <c r="E647" s="3"/>
      <c r="F647" s="3"/>
      <c r="G647" s="3"/>
    </row>
    <row r="648" spans="1:7" ht="18" customHeight="1" x14ac:dyDescent="0.35">
      <c r="A648" s="3"/>
      <c r="B648" s="3"/>
      <c r="C648" s="3"/>
      <c r="D648" s="3"/>
      <c r="E648" s="3"/>
      <c r="F648" s="3"/>
      <c r="G648" s="3"/>
    </row>
    <row r="649" spans="1:7" ht="18" customHeight="1" x14ac:dyDescent="0.35">
      <c r="A649" s="3"/>
      <c r="B649" s="3"/>
      <c r="C649" s="3"/>
      <c r="D649" s="3"/>
      <c r="E649" s="3"/>
      <c r="F649" s="3"/>
      <c r="G649" s="3"/>
    </row>
    <row r="650" spans="1:7" ht="18" customHeight="1" x14ac:dyDescent="0.35">
      <c r="A650" s="3"/>
      <c r="B650" s="3"/>
      <c r="C650" s="3"/>
      <c r="D650" s="3"/>
      <c r="E650" s="3"/>
      <c r="F650" s="3"/>
      <c r="G650" s="3"/>
    </row>
    <row r="651" spans="1:7" ht="18" customHeight="1" x14ac:dyDescent="0.35">
      <c r="A651" s="3"/>
      <c r="B651" s="3"/>
      <c r="C651" s="3"/>
      <c r="D651" s="3"/>
      <c r="E651" s="3"/>
      <c r="F651" s="3"/>
      <c r="G651" s="3"/>
    </row>
    <row r="652" spans="1:7" ht="18" customHeight="1" x14ac:dyDescent="0.35">
      <c r="A652" s="3"/>
      <c r="B652" s="3"/>
      <c r="C652" s="3"/>
      <c r="D652" s="3"/>
      <c r="E652" s="3"/>
      <c r="F652" s="3"/>
      <c r="G652" s="3"/>
    </row>
    <row r="653" spans="1:7" ht="18" customHeight="1" x14ac:dyDescent="0.35">
      <c r="A653" s="3"/>
      <c r="B653" s="3"/>
      <c r="C653" s="3"/>
      <c r="D653" s="3"/>
      <c r="E653" s="3"/>
      <c r="F653" s="3"/>
      <c r="G653" s="3"/>
    </row>
    <row r="654" spans="1:7" ht="18" customHeight="1" x14ac:dyDescent="0.35">
      <c r="A654" s="3"/>
      <c r="B654" s="3"/>
      <c r="C654" s="3"/>
      <c r="D654" s="3"/>
      <c r="E654" s="3"/>
      <c r="F654" s="3"/>
      <c r="G654" s="3"/>
    </row>
    <row r="655" spans="1:7" ht="18" customHeight="1" x14ac:dyDescent="0.35">
      <c r="A655" s="3"/>
      <c r="B655" s="3"/>
      <c r="C655" s="3"/>
      <c r="D655" s="3"/>
      <c r="E655" s="3"/>
      <c r="F655" s="3"/>
      <c r="G655" s="3"/>
    </row>
    <row r="656" spans="1:7" ht="18" customHeight="1" x14ac:dyDescent="0.35">
      <c r="A656" s="3"/>
      <c r="B656" s="3"/>
      <c r="C656" s="3"/>
      <c r="D656" s="3"/>
      <c r="E656" s="3"/>
      <c r="F656" s="3"/>
      <c r="G656" s="3"/>
    </row>
    <row r="657" spans="1:7" ht="18" customHeight="1" x14ac:dyDescent="0.35">
      <c r="A657" s="3"/>
      <c r="B657" s="3"/>
      <c r="C657" s="3"/>
      <c r="D657" s="3"/>
      <c r="E657" s="3"/>
      <c r="F657" s="3"/>
      <c r="G657" s="3"/>
    </row>
    <row r="658" spans="1:7" ht="18" customHeight="1" x14ac:dyDescent="0.35">
      <c r="A658" s="3"/>
      <c r="B658" s="3"/>
      <c r="C658" s="3"/>
      <c r="D658" s="3"/>
      <c r="E658" s="3"/>
      <c r="F658" s="3"/>
      <c r="G658" s="3"/>
    </row>
    <row r="659" spans="1:7" ht="18" customHeight="1" x14ac:dyDescent="0.35">
      <c r="A659" s="3"/>
      <c r="B659" s="3"/>
      <c r="C659" s="3"/>
      <c r="D659" s="3"/>
      <c r="E659" s="3"/>
      <c r="F659" s="3"/>
      <c r="G659" s="3"/>
    </row>
    <row r="660" spans="1:7" ht="18" customHeight="1" x14ac:dyDescent="0.35">
      <c r="A660" s="3"/>
      <c r="B660" s="3"/>
      <c r="C660" s="3"/>
      <c r="D660" s="3"/>
      <c r="E660" s="3"/>
      <c r="F660" s="3"/>
      <c r="G660" s="3"/>
    </row>
    <row r="661" spans="1:7" ht="18" customHeight="1" x14ac:dyDescent="0.35">
      <c r="A661" s="3"/>
      <c r="B661" s="3"/>
      <c r="C661" s="3"/>
      <c r="D661" s="3"/>
      <c r="E661" s="3"/>
      <c r="F661" s="3"/>
      <c r="G661" s="3"/>
    </row>
    <row r="662" spans="1:7" ht="18" customHeight="1" x14ac:dyDescent="0.35">
      <c r="A662" s="3"/>
      <c r="B662" s="3"/>
      <c r="C662" s="3"/>
      <c r="D662" s="3"/>
      <c r="E662" s="3"/>
      <c r="F662" s="3"/>
      <c r="G662" s="3"/>
    </row>
    <row r="663" spans="1:7" ht="18" customHeight="1" x14ac:dyDescent="0.35">
      <c r="A663" s="3"/>
      <c r="B663" s="3"/>
      <c r="C663" s="3"/>
      <c r="D663" s="3"/>
      <c r="E663" s="3"/>
      <c r="F663" s="3"/>
      <c r="G663" s="3"/>
    </row>
    <row r="664" spans="1:7" ht="18" customHeight="1" x14ac:dyDescent="0.35">
      <c r="A664" s="3"/>
      <c r="B664" s="3"/>
      <c r="C664" s="3"/>
      <c r="D664" s="3"/>
      <c r="E664" s="3"/>
      <c r="F664" s="3"/>
      <c r="G664" s="3"/>
    </row>
    <row r="665" spans="1:7" ht="18" customHeight="1" x14ac:dyDescent="0.35">
      <c r="A665" s="3"/>
      <c r="B665" s="3"/>
      <c r="C665" s="3"/>
      <c r="D665" s="3"/>
      <c r="E665" s="3"/>
      <c r="F665" s="3"/>
      <c r="G665" s="3"/>
    </row>
    <row r="666" spans="1:7" ht="18" customHeight="1" x14ac:dyDescent="0.35">
      <c r="A666" s="3"/>
      <c r="B666" s="3"/>
      <c r="C666" s="3"/>
      <c r="D666" s="3"/>
      <c r="E666" s="3"/>
      <c r="F666" s="3"/>
      <c r="G666" s="3"/>
    </row>
    <row r="667" spans="1:7" ht="18" customHeight="1" x14ac:dyDescent="0.35">
      <c r="A667" s="3"/>
      <c r="B667" s="3"/>
      <c r="C667" s="3"/>
      <c r="D667" s="3"/>
      <c r="E667" s="3"/>
      <c r="F667" s="3"/>
      <c r="G667" s="3"/>
    </row>
    <row r="668" spans="1:7" ht="18" customHeight="1" x14ac:dyDescent="0.35">
      <c r="A668" s="3"/>
      <c r="B668" s="3"/>
      <c r="C668" s="3"/>
      <c r="D668" s="3"/>
      <c r="E668" s="3"/>
      <c r="F668" s="3"/>
      <c r="G668" s="3"/>
    </row>
    <row r="669" spans="1:7" ht="18" customHeight="1" x14ac:dyDescent="0.35">
      <c r="A669" s="3"/>
      <c r="B669" s="3"/>
      <c r="C669" s="3"/>
      <c r="D669" s="3"/>
      <c r="E669" s="3"/>
      <c r="F669" s="3"/>
      <c r="G669" s="3"/>
    </row>
    <row r="670" spans="1:7" ht="18" customHeight="1" x14ac:dyDescent="0.35">
      <c r="A670" s="3"/>
      <c r="B670" s="3"/>
      <c r="C670" s="3"/>
      <c r="D670" s="3"/>
      <c r="E670" s="3"/>
      <c r="F670" s="3"/>
      <c r="G670" s="3"/>
    </row>
    <row r="671" spans="1:7" ht="18" customHeight="1" x14ac:dyDescent="0.35">
      <c r="A671" s="3"/>
      <c r="B671" s="3"/>
      <c r="C671" s="3"/>
      <c r="D671" s="3"/>
      <c r="E671" s="3"/>
      <c r="F671" s="3"/>
      <c r="G671" s="3"/>
    </row>
    <row r="672" spans="1:7" ht="18" customHeight="1" x14ac:dyDescent="0.35">
      <c r="A672" s="3"/>
      <c r="B672" s="3"/>
      <c r="C672" s="3"/>
      <c r="D672" s="3"/>
      <c r="E672" s="3"/>
      <c r="F672" s="3"/>
      <c r="G672" s="3"/>
    </row>
    <row r="673" spans="1:7" ht="18" customHeight="1" x14ac:dyDescent="0.35">
      <c r="A673" s="3"/>
      <c r="B673" s="3"/>
      <c r="C673" s="3"/>
      <c r="D673" s="3"/>
      <c r="E673" s="3"/>
      <c r="F673" s="3"/>
      <c r="G673" s="3"/>
    </row>
    <row r="674" spans="1:7" ht="18" customHeight="1" x14ac:dyDescent="0.35">
      <c r="A674" s="3"/>
      <c r="B674" s="3"/>
      <c r="C674" s="3"/>
      <c r="D674" s="3"/>
      <c r="E674" s="3"/>
      <c r="F674" s="3"/>
      <c r="G674" s="3"/>
    </row>
    <row r="675" spans="1:7" ht="18" customHeight="1" x14ac:dyDescent="0.35">
      <c r="A675" s="3"/>
      <c r="B675" s="3"/>
      <c r="C675" s="3"/>
      <c r="D675" s="3"/>
      <c r="E675" s="3"/>
      <c r="F675" s="3"/>
      <c r="G675" s="3"/>
    </row>
    <row r="676" spans="1:7" ht="18" customHeight="1" x14ac:dyDescent="0.35">
      <c r="A676" s="3"/>
      <c r="B676" s="3"/>
      <c r="C676" s="3"/>
      <c r="D676" s="3"/>
      <c r="E676" s="3"/>
      <c r="F676" s="3"/>
      <c r="G676" s="3"/>
    </row>
    <row r="677" spans="1:7" ht="18" customHeight="1" x14ac:dyDescent="0.35">
      <c r="A677" s="3"/>
      <c r="B677" s="3"/>
      <c r="C677" s="3"/>
      <c r="D677" s="3"/>
      <c r="E677" s="3"/>
      <c r="F677" s="3"/>
      <c r="G677" s="3"/>
    </row>
    <row r="678" spans="1:7" ht="18" customHeight="1" x14ac:dyDescent="0.35">
      <c r="A678" s="3"/>
      <c r="B678" s="3"/>
      <c r="C678" s="3"/>
      <c r="D678" s="3"/>
      <c r="E678" s="3"/>
      <c r="F678" s="3"/>
      <c r="G678" s="3"/>
    </row>
    <row r="679" spans="1:7" ht="18" customHeight="1" x14ac:dyDescent="0.35">
      <c r="A679" s="3"/>
      <c r="B679" s="3"/>
      <c r="C679" s="3"/>
      <c r="D679" s="3"/>
      <c r="E679" s="3"/>
      <c r="F679" s="3"/>
      <c r="G679" s="3"/>
    </row>
    <row r="680" spans="1:7" ht="18" customHeight="1" x14ac:dyDescent="0.35">
      <c r="A680" s="3"/>
      <c r="B680" s="3"/>
      <c r="C680" s="3"/>
      <c r="D680" s="3"/>
      <c r="E680" s="3"/>
      <c r="F680" s="3"/>
      <c r="G680" s="3"/>
    </row>
    <row r="681" spans="1:7" ht="18" customHeight="1" x14ac:dyDescent="0.35">
      <c r="A681" s="3"/>
      <c r="B681" s="3"/>
      <c r="C681" s="3"/>
      <c r="D681" s="3"/>
      <c r="E681" s="3"/>
      <c r="F681" s="3"/>
      <c r="G681" s="3"/>
    </row>
    <row r="682" spans="1:7" ht="18" customHeight="1" x14ac:dyDescent="0.35">
      <c r="A682" s="3"/>
      <c r="B682" s="3"/>
      <c r="C682" s="3"/>
      <c r="D682" s="3"/>
      <c r="E682" s="3"/>
      <c r="F682" s="3"/>
      <c r="G682" s="3"/>
    </row>
    <row r="683" spans="1:7" ht="18" customHeight="1" x14ac:dyDescent="0.35">
      <c r="A683" s="3"/>
      <c r="B683" s="3"/>
      <c r="C683" s="3"/>
      <c r="D683" s="3"/>
      <c r="E683" s="3"/>
      <c r="F683" s="3"/>
      <c r="G683" s="3"/>
    </row>
    <row r="684" spans="1:7" ht="18" customHeight="1" x14ac:dyDescent="0.35">
      <c r="A684" s="3"/>
      <c r="B684" s="3"/>
      <c r="C684" s="3"/>
      <c r="D684" s="3"/>
      <c r="E684" s="3"/>
      <c r="F684" s="3"/>
      <c r="G684" s="3"/>
    </row>
    <row r="685" spans="1:7" ht="18" customHeight="1" x14ac:dyDescent="0.35">
      <c r="A685" s="3"/>
      <c r="B685" s="3"/>
      <c r="C685" s="3"/>
      <c r="D685" s="3"/>
      <c r="E685" s="3"/>
      <c r="F685" s="3"/>
      <c r="G685" s="3"/>
    </row>
    <row r="686" spans="1:7" ht="18" customHeight="1" x14ac:dyDescent="0.35">
      <c r="A686" s="3"/>
      <c r="B686" s="3"/>
      <c r="C686" s="3"/>
      <c r="D686" s="3"/>
      <c r="E686" s="3"/>
      <c r="F686" s="3"/>
      <c r="G686" s="3"/>
    </row>
    <row r="687" spans="1:7" ht="18" customHeight="1" x14ac:dyDescent="0.35">
      <c r="A687" s="3"/>
      <c r="B687" s="3"/>
      <c r="C687" s="3"/>
      <c r="D687" s="3"/>
      <c r="E687" s="3"/>
      <c r="F687" s="3"/>
      <c r="G687" s="3"/>
    </row>
    <row r="688" spans="1:7" ht="18" customHeight="1" x14ac:dyDescent="0.35">
      <c r="A688" s="3"/>
      <c r="B688" s="3"/>
      <c r="C688" s="3"/>
      <c r="D688" s="3"/>
      <c r="E688" s="3"/>
      <c r="F688" s="3"/>
      <c r="G688" s="3"/>
    </row>
    <row r="689" spans="1:7" ht="18" customHeight="1" x14ac:dyDescent="0.35">
      <c r="A689" s="3"/>
      <c r="B689" s="3"/>
      <c r="C689" s="3"/>
      <c r="D689" s="3"/>
      <c r="E689" s="3"/>
      <c r="F689" s="3"/>
      <c r="G689" s="3"/>
    </row>
    <row r="690" spans="1:7" ht="18" customHeight="1" x14ac:dyDescent="0.35">
      <c r="A690" s="3"/>
      <c r="B690" s="3"/>
      <c r="C690" s="3"/>
      <c r="D690" s="3"/>
      <c r="E690" s="3"/>
      <c r="F690" s="3"/>
      <c r="G690" s="3"/>
    </row>
    <row r="691" spans="1:7" ht="18" customHeight="1" x14ac:dyDescent="0.35">
      <c r="A691" s="3"/>
      <c r="B691" s="3"/>
      <c r="C691" s="3"/>
      <c r="D691" s="3"/>
      <c r="E691" s="3"/>
      <c r="F691" s="3"/>
      <c r="G691" s="3"/>
    </row>
    <row r="692" spans="1:7" ht="18" customHeight="1" x14ac:dyDescent="0.35">
      <c r="A692" s="3"/>
      <c r="B692" s="3"/>
      <c r="C692" s="3"/>
      <c r="D692" s="3"/>
      <c r="E692" s="3"/>
      <c r="F692" s="3"/>
      <c r="G692" s="3"/>
    </row>
    <row r="693" spans="1:7" ht="18" customHeight="1" x14ac:dyDescent="0.35">
      <c r="A693" s="3"/>
      <c r="B693" s="3"/>
      <c r="C693" s="3"/>
      <c r="D693" s="3"/>
      <c r="E693" s="3"/>
      <c r="F693" s="3"/>
      <c r="G693" s="3"/>
    </row>
    <row r="694" spans="1:7" ht="18" customHeight="1" x14ac:dyDescent="0.35">
      <c r="A694" s="3"/>
      <c r="B694" s="3"/>
      <c r="C694" s="3"/>
      <c r="D694" s="3"/>
      <c r="E694" s="3"/>
      <c r="F694" s="3"/>
      <c r="G694" s="3"/>
    </row>
    <row r="695" spans="1:7" ht="18" customHeight="1" x14ac:dyDescent="0.35">
      <c r="A695" s="3"/>
      <c r="B695" s="3"/>
      <c r="C695" s="3"/>
      <c r="D695" s="3"/>
      <c r="E695" s="3"/>
      <c r="F695" s="3"/>
      <c r="G695" s="3"/>
    </row>
    <row r="696" spans="1:7" ht="18" customHeight="1" x14ac:dyDescent="0.35">
      <c r="A696" s="3"/>
      <c r="B696" s="3"/>
      <c r="C696" s="3"/>
      <c r="D696" s="3"/>
      <c r="E696" s="3"/>
      <c r="F696" s="3"/>
      <c r="G696" s="3"/>
    </row>
    <row r="697" spans="1:7" ht="18" customHeight="1" x14ac:dyDescent="0.35">
      <c r="A697" s="3"/>
      <c r="B697" s="3"/>
      <c r="C697" s="3"/>
      <c r="D697" s="3"/>
      <c r="E697" s="3"/>
      <c r="F697" s="3"/>
      <c r="G697" s="3"/>
    </row>
    <row r="698" spans="1:7" ht="18" customHeight="1" x14ac:dyDescent="0.35">
      <c r="A698" s="3"/>
      <c r="B698" s="3"/>
      <c r="C698" s="3"/>
      <c r="D698" s="3"/>
      <c r="E698" s="3"/>
      <c r="F698" s="3"/>
      <c r="G698" s="3"/>
    </row>
    <row r="699" spans="1:7" ht="18" customHeight="1" x14ac:dyDescent="0.35">
      <c r="A699" s="3"/>
      <c r="B699" s="3"/>
      <c r="C699" s="3"/>
      <c r="D699" s="3"/>
      <c r="E699" s="3"/>
      <c r="F699" s="3"/>
      <c r="G699" s="3"/>
    </row>
    <row r="700" spans="1:7" ht="18" customHeight="1" x14ac:dyDescent="0.35">
      <c r="A700" s="3"/>
      <c r="B700" s="3"/>
      <c r="C700" s="3"/>
      <c r="D700" s="3"/>
      <c r="E700" s="3"/>
      <c r="F700" s="3"/>
      <c r="G700" s="3"/>
    </row>
    <row r="701" spans="1:7" ht="18" customHeight="1" x14ac:dyDescent="0.35">
      <c r="A701" s="3"/>
      <c r="B701" s="3"/>
      <c r="C701" s="3"/>
      <c r="D701" s="3"/>
      <c r="E701" s="3"/>
      <c r="F701" s="3"/>
      <c r="G701" s="3"/>
    </row>
    <row r="702" spans="1:7" ht="18" customHeight="1" x14ac:dyDescent="0.35">
      <c r="A702" s="3"/>
      <c r="B702" s="3"/>
      <c r="C702" s="3"/>
      <c r="D702" s="3"/>
      <c r="E702" s="3"/>
      <c r="F702" s="3"/>
      <c r="G702" s="3"/>
    </row>
    <row r="703" spans="1:7" ht="18" customHeight="1" x14ac:dyDescent="0.35">
      <c r="A703" s="3"/>
      <c r="B703" s="3"/>
      <c r="C703" s="3"/>
      <c r="D703" s="3"/>
      <c r="E703" s="3"/>
      <c r="F703" s="3"/>
      <c r="G703" s="3"/>
    </row>
    <row r="704" spans="1:7" ht="18" customHeight="1" x14ac:dyDescent="0.35">
      <c r="A704" s="3"/>
      <c r="B704" s="3"/>
      <c r="C704" s="3"/>
      <c r="D704" s="3"/>
      <c r="E704" s="3"/>
      <c r="F704" s="3"/>
      <c r="G704" s="3"/>
    </row>
    <row r="705" spans="1:7" ht="18" customHeight="1" x14ac:dyDescent="0.35">
      <c r="A705" s="3"/>
      <c r="B705" s="3"/>
      <c r="C705" s="3"/>
      <c r="D705" s="3"/>
      <c r="E705" s="3"/>
      <c r="F705" s="3"/>
      <c r="G705" s="3"/>
    </row>
    <row r="706" spans="1:7" ht="18" customHeight="1" x14ac:dyDescent="0.35">
      <c r="A706" s="3"/>
      <c r="B706" s="3"/>
      <c r="C706" s="3"/>
      <c r="D706" s="3"/>
      <c r="E706" s="3"/>
      <c r="F706" s="3"/>
      <c r="G706" s="3"/>
    </row>
    <row r="707" spans="1:7" ht="18" customHeight="1" x14ac:dyDescent="0.35">
      <c r="A707" s="3"/>
      <c r="B707" s="3"/>
      <c r="C707" s="3"/>
      <c r="D707" s="3"/>
      <c r="E707" s="3"/>
      <c r="F707" s="3"/>
      <c r="G707" s="3"/>
    </row>
    <row r="708" spans="1:7" ht="18" customHeight="1" x14ac:dyDescent="0.35">
      <c r="A708" s="3"/>
      <c r="B708" s="3"/>
      <c r="C708" s="3"/>
      <c r="D708" s="3"/>
      <c r="E708" s="3"/>
      <c r="F708" s="3"/>
      <c r="G708" s="3"/>
    </row>
    <row r="709" spans="1:7" ht="18" customHeight="1" x14ac:dyDescent="0.35">
      <c r="A709" s="3"/>
      <c r="B709" s="3"/>
      <c r="C709" s="3"/>
      <c r="D709" s="3"/>
      <c r="E709" s="3"/>
      <c r="F709" s="3"/>
      <c r="G709" s="3"/>
    </row>
    <row r="710" spans="1:7" ht="18" customHeight="1" x14ac:dyDescent="0.35">
      <c r="A710" s="3"/>
      <c r="B710" s="3"/>
      <c r="C710" s="3"/>
      <c r="D710" s="3"/>
      <c r="E710" s="3"/>
      <c r="F710" s="3"/>
      <c r="G710" s="3"/>
    </row>
    <row r="711" spans="1:7" ht="18" customHeight="1" x14ac:dyDescent="0.35">
      <c r="A711" s="3"/>
      <c r="B711" s="3"/>
      <c r="C711" s="3"/>
      <c r="D711" s="3"/>
      <c r="E711" s="3"/>
      <c r="F711" s="3"/>
      <c r="G711" s="3"/>
    </row>
    <row r="712" spans="1:7" ht="18" customHeight="1" x14ac:dyDescent="0.35">
      <c r="A712" s="3"/>
      <c r="B712" s="3"/>
      <c r="C712" s="3"/>
      <c r="D712" s="3"/>
      <c r="E712" s="3"/>
      <c r="F712" s="3"/>
      <c r="G712" s="3"/>
    </row>
    <row r="713" spans="1:7" ht="18" customHeight="1" x14ac:dyDescent="0.35">
      <c r="A713" s="3"/>
      <c r="B713" s="3"/>
      <c r="C713" s="3"/>
      <c r="D713" s="3"/>
      <c r="E713" s="3"/>
      <c r="F713" s="3"/>
      <c r="G713" s="3"/>
    </row>
    <row r="714" spans="1:7" ht="18" customHeight="1" x14ac:dyDescent="0.35">
      <c r="A714" s="3"/>
      <c r="B714" s="3"/>
      <c r="C714" s="3"/>
      <c r="D714" s="3"/>
      <c r="E714" s="3"/>
      <c r="F714" s="3"/>
      <c r="G714" s="3"/>
    </row>
    <row r="715" spans="1:7" ht="18" customHeight="1" x14ac:dyDescent="0.35">
      <c r="A715" s="3"/>
      <c r="B715" s="3"/>
      <c r="C715" s="3"/>
      <c r="D715" s="3"/>
      <c r="E715" s="3"/>
      <c r="F715" s="3"/>
      <c r="G715" s="3"/>
    </row>
    <row r="716" spans="1:7" ht="18" customHeight="1" x14ac:dyDescent="0.35">
      <c r="A716" s="3"/>
      <c r="B716" s="3"/>
      <c r="C716" s="3"/>
      <c r="D716" s="3"/>
      <c r="E716" s="3"/>
      <c r="F716" s="3"/>
      <c r="G716" s="3"/>
    </row>
    <row r="717" spans="1:7" ht="18" customHeight="1" x14ac:dyDescent="0.35">
      <c r="A717" s="3"/>
      <c r="B717" s="3"/>
      <c r="C717" s="3"/>
      <c r="D717" s="3"/>
      <c r="E717" s="3"/>
      <c r="F717" s="3"/>
      <c r="G717" s="3"/>
    </row>
    <row r="718" spans="1:7" ht="18" customHeight="1" x14ac:dyDescent="0.35">
      <c r="A718" s="3"/>
      <c r="B718" s="3"/>
      <c r="C718" s="3"/>
      <c r="D718" s="3"/>
      <c r="E718" s="3"/>
      <c r="F718" s="3"/>
      <c r="G718" s="3"/>
    </row>
    <row r="719" spans="1:7" ht="18" customHeight="1" x14ac:dyDescent="0.35">
      <c r="A719" s="3"/>
      <c r="B719" s="3"/>
      <c r="C719" s="3"/>
      <c r="D719" s="3"/>
      <c r="E719" s="3"/>
      <c r="F719" s="3"/>
      <c r="G719" s="3"/>
    </row>
    <row r="720" spans="1:7" ht="18" customHeight="1" x14ac:dyDescent="0.35">
      <c r="A720" s="3"/>
      <c r="B720" s="3"/>
      <c r="C720" s="3"/>
      <c r="D720" s="3"/>
      <c r="E720" s="3"/>
      <c r="F720" s="3"/>
      <c r="G720" s="3"/>
    </row>
    <row r="721" spans="1:7" ht="18" customHeight="1" x14ac:dyDescent="0.35">
      <c r="A721" s="3"/>
      <c r="B721" s="3"/>
      <c r="C721" s="3"/>
      <c r="D721" s="3"/>
      <c r="E721" s="3"/>
      <c r="F721" s="3"/>
      <c r="G721" s="3"/>
    </row>
    <row r="722" spans="1:7" ht="18" customHeight="1" x14ac:dyDescent="0.35">
      <c r="A722" s="3"/>
      <c r="B722" s="3"/>
      <c r="C722" s="3"/>
      <c r="D722" s="3"/>
      <c r="E722" s="3"/>
      <c r="F722" s="3"/>
      <c r="G722" s="3"/>
    </row>
    <row r="723" spans="1:7" ht="18" customHeight="1" x14ac:dyDescent="0.35">
      <c r="A723" s="3"/>
      <c r="B723" s="3"/>
      <c r="C723" s="3"/>
      <c r="D723" s="3"/>
      <c r="E723" s="3"/>
      <c r="F723" s="3"/>
      <c r="G723" s="3"/>
    </row>
    <row r="724" spans="1:7" ht="18" customHeight="1" x14ac:dyDescent="0.35">
      <c r="A724" s="3"/>
      <c r="B724" s="3"/>
      <c r="C724" s="3"/>
      <c r="D724" s="3"/>
      <c r="E724" s="3"/>
      <c r="F724" s="3"/>
      <c r="G724" s="3"/>
    </row>
    <row r="725" spans="1:7" ht="18" customHeight="1" x14ac:dyDescent="0.35">
      <c r="A725" s="3"/>
      <c r="B725" s="3"/>
      <c r="C725" s="3"/>
      <c r="D725" s="3"/>
      <c r="E725" s="3"/>
      <c r="F725" s="3"/>
      <c r="G725" s="3"/>
    </row>
    <row r="726" spans="1:7" ht="18" customHeight="1" x14ac:dyDescent="0.35">
      <c r="A726" s="3"/>
      <c r="B726" s="3"/>
      <c r="C726" s="3"/>
      <c r="D726" s="3"/>
      <c r="E726" s="3"/>
      <c r="F726" s="3"/>
      <c r="G726" s="3"/>
    </row>
    <row r="727" spans="1:7" ht="18" customHeight="1" x14ac:dyDescent="0.35">
      <c r="A727" s="3"/>
      <c r="B727" s="3"/>
      <c r="C727" s="3"/>
      <c r="D727" s="3"/>
      <c r="E727" s="3"/>
      <c r="F727" s="3"/>
      <c r="G727" s="3"/>
    </row>
    <row r="728" spans="1:7" ht="18" customHeight="1" x14ac:dyDescent="0.35">
      <c r="A728" s="3"/>
      <c r="B728" s="3"/>
      <c r="C728" s="3"/>
      <c r="D728" s="3"/>
      <c r="E728" s="3"/>
      <c r="F728" s="3"/>
      <c r="G728" s="3"/>
    </row>
    <row r="729" spans="1:7" ht="18" customHeight="1" x14ac:dyDescent="0.35">
      <c r="A729" s="3"/>
      <c r="B729" s="3"/>
      <c r="C729" s="3"/>
      <c r="D729" s="3"/>
      <c r="E729" s="3"/>
      <c r="F729" s="3"/>
      <c r="G729" s="3"/>
    </row>
    <row r="730" spans="1:7" ht="18" customHeight="1" x14ac:dyDescent="0.35">
      <c r="A730" s="3"/>
      <c r="B730" s="3"/>
      <c r="C730" s="3"/>
      <c r="D730" s="3"/>
      <c r="E730" s="3"/>
      <c r="F730" s="3"/>
      <c r="G730" s="3"/>
    </row>
    <row r="731" spans="1:7" ht="18" customHeight="1" x14ac:dyDescent="0.35">
      <c r="A731" s="3"/>
      <c r="B731" s="3"/>
      <c r="C731" s="3"/>
      <c r="D731" s="3"/>
      <c r="E731" s="3"/>
      <c r="F731" s="3"/>
      <c r="G731" s="3"/>
    </row>
    <row r="732" spans="1:7" ht="18" customHeight="1" x14ac:dyDescent="0.35">
      <c r="A732" s="3"/>
      <c r="B732" s="3"/>
      <c r="C732" s="3"/>
      <c r="D732" s="3"/>
      <c r="E732" s="3"/>
      <c r="F732" s="3"/>
      <c r="G732" s="3"/>
    </row>
    <row r="733" spans="1:7" ht="18" customHeight="1" x14ac:dyDescent="0.35">
      <c r="A733" s="3"/>
      <c r="B733" s="3"/>
      <c r="C733" s="3"/>
      <c r="D733" s="3"/>
      <c r="E733" s="3"/>
      <c r="F733" s="3"/>
      <c r="G733" s="3"/>
    </row>
    <row r="734" spans="1:7" ht="18" customHeight="1" x14ac:dyDescent="0.35">
      <c r="A734" s="3"/>
      <c r="B734" s="3"/>
      <c r="C734" s="3"/>
      <c r="D734" s="3"/>
      <c r="E734" s="3"/>
      <c r="F734" s="3"/>
      <c r="G734" s="3"/>
    </row>
    <row r="735" spans="1:7" ht="18" customHeight="1" x14ac:dyDescent="0.35">
      <c r="A735" s="3"/>
      <c r="B735" s="3"/>
      <c r="C735" s="3"/>
      <c r="D735" s="3"/>
      <c r="E735" s="3"/>
      <c r="F735" s="3"/>
      <c r="G735" s="3"/>
    </row>
    <row r="736" spans="1:7" ht="18" customHeight="1" x14ac:dyDescent="0.35">
      <c r="A736" s="3"/>
      <c r="B736" s="3"/>
      <c r="C736" s="3"/>
      <c r="D736" s="3"/>
      <c r="E736" s="3"/>
      <c r="F736" s="3"/>
      <c r="G736" s="3"/>
    </row>
    <row r="737" spans="1:7" ht="18" customHeight="1" x14ac:dyDescent="0.35">
      <c r="A737" s="3"/>
      <c r="B737" s="3"/>
      <c r="C737" s="3"/>
      <c r="D737" s="3"/>
      <c r="E737" s="3"/>
      <c r="F737" s="3"/>
      <c r="G737" s="3"/>
    </row>
    <row r="738" spans="1:7" ht="18" customHeight="1" x14ac:dyDescent="0.35">
      <c r="A738" s="3"/>
      <c r="B738" s="3"/>
      <c r="C738" s="3"/>
      <c r="D738" s="3"/>
      <c r="E738" s="3"/>
      <c r="F738" s="3"/>
      <c r="G738" s="3"/>
    </row>
    <row r="739" spans="1:7" ht="18" customHeight="1" x14ac:dyDescent="0.35">
      <c r="A739" s="3"/>
      <c r="B739" s="3"/>
      <c r="C739" s="3"/>
      <c r="D739" s="3"/>
      <c r="E739" s="3"/>
      <c r="F739" s="3"/>
      <c r="G739" s="3"/>
    </row>
    <row r="740" spans="1:7" ht="18" customHeight="1" x14ac:dyDescent="0.35">
      <c r="A740" s="3"/>
      <c r="B740" s="3"/>
      <c r="C740" s="3"/>
      <c r="D740" s="3"/>
      <c r="E740" s="3"/>
      <c r="F740" s="3"/>
      <c r="G740" s="3"/>
    </row>
    <row r="741" spans="1:7" ht="18" customHeight="1" x14ac:dyDescent="0.35">
      <c r="A741" s="3"/>
      <c r="B741" s="3"/>
      <c r="C741" s="3"/>
      <c r="D741" s="3"/>
      <c r="E741" s="3"/>
      <c r="F741" s="3"/>
      <c r="G741" s="3"/>
    </row>
    <row r="742" spans="1:7" ht="18" customHeight="1" x14ac:dyDescent="0.35">
      <c r="A742" s="3"/>
      <c r="B742" s="3"/>
      <c r="C742" s="3"/>
      <c r="D742" s="3"/>
      <c r="E742" s="3"/>
      <c r="F742" s="3"/>
      <c r="G742" s="3"/>
    </row>
    <row r="743" spans="1:7" ht="18" customHeight="1" x14ac:dyDescent="0.35">
      <c r="A743" s="3"/>
      <c r="B743" s="3"/>
      <c r="C743" s="3"/>
      <c r="D743" s="3"/>
      <c r="E743" s="3"/>
      <c r="F743" s="3"/>
      <c r="G743" s="3"/>
    </row>
    <row r="744" spans="1:7" ht="18" customHeight="1" x14ac:dyDescent="0.35">
      <c r="A744" s="3"/>
      <c r="B744" s="3"/>
      <c r="C744" s="3"/>
      <c r="D744" s="3"/>
      <c r="E744" s="3"/>
      <c r="F744" s="3"/>
      <c r="G744" s="3"/>
    </row>
    <row r="745" spans="1:7" ht="18" customHeight="1" x14ac:dyDescent="0.35">
      <c r="A745" s="3"/>
      <c r="B745" s="3"/>
      <c r="C745" s="3"/>
      <c r="D745" s="3"/>
      <c r="E745" s="3"/>
      <c r="F745" s="3"/>
      <c r="G745" s="3"/>
    </row>
    <row r="746" spans="1:7" ht="18" customHeight="1" x14ac:dyDescent="0.35">
      <c r="A746" s="3"/>
      <c r="B746" s="3"/>
      <c r="C746" s="3"/>
      <c r="D746" s="3"/>
      <c r="E746" s="3"/>
      <c r="F746" s="3"/>
      <c r="G746" s="3"/>
    </row>
    <row r="747" spans="1:7" ht="18" customHeight="1" x14ac:dyDescent="0.35">
      <c r="A747" s="3"/>
      <c r="B747" s="3"/>
      <c r="C747" s="3"/>
      <c r="D747" s="3"/>
      <c r="E747" s="3"/>
      <c r="F747" s="3"/>
      <c r="G747" s="3"/>
    </row>
    <row r="748" spans="1:7" ht="18" customHeight="1" x14ac:dyDescent="0.35">
      <c r="A748" s="3"/>
      <c r="B748" s="3"/>
      <c r="C748" s="3"/>
      <c r="D748" s="3"/>
      <c r="E748" s="3"/>
      <c r="F748" s="3"/>
      <c r="G748" s="3"/>
    </row>
    <row r="749" spans="1:7" ht="18" customHeight="1" x14ac:dyDescent="0.35">
      <c r="A749" s="3"/>
      <c r="B749" s="3"/>
      <c r="C749" s="3"/>
      <c r="D749" s="3"/>
      <c r="E749" s="3"/>
      <c r="F749" s="3"/>
      <c r="G749" s="3"/>
    </row>
    <row r="750" spans="1:7" ht="18" customHeight="1" x14ac:dyDescent="0.35">
      <c r="A750" s="3"/>
      <c r="B750" s="3"/>
      <c r="C750" s="3"/>
      <c r="D750" s="3"/>
      <c r="E750" s="3"/>
      <c r="F750" s="3"/>
      <c r="G750" s="3"/>
    </row>
    <row r="751" spans="1:7" ht="18" customHeight="1" x14ac:dyDescent="0.35">
      <c r="A751" s="3"/>
      <c r="B751" s="3"/>
      <c r="C751" s="3"/>
      <c r="D751" s="3"/>
      <c r="E751" s="3"/>
      <c r="F751" s="3"/>
      <c r="G751" s="3"/>
    </row>
    <row r="752" spans="1:7" ht="18" customHeight="1" x14ac:dyDescent="0.35">
      <c r="A752" s="3"/>
      <c r="B752" s="3"/>
      <c r="C752" s="3"/>
      <c r="D752" s="3"/>
      <c r="E752" s="3"/>
      <c r="F752" s="3"/>
      <c r="G752" s="3"/>
    </row>
    <row r="753" spans="1:7" ht="18" customHeight="1" x14ac:dyDescent="0.35">
      <c r="A753" s="3"/>
      <c r="B753" s="3"/>
      <c r="C753" s="3"/>
      <c r="D753" s="3"/>
      <c r="E753" s="3"/>
      <c r="F753" s="3"/>
      <c r="G753" s="3"/>
    </row>
    <row r="754" spans="1:7" ht="18" customHeight="1" x14ac:dyDescent="0.35">
      <c r="A754" s="3"/>
      <c r="B754" s="3"/>
      <c r="C754" s="3"/>
      <c r="D754" s="3"/>
      <c r="E754" s="3"/>
      <c r="F754" s="3"/>
      <c r="G754" s="3"/>
    </row>
    <row r="755" spans="1:7" ht="18" customHeight="1" x14ac:dyDescent="0.35">
      <c r="A755" s="3"/>
      <c r="B755" s="3"/>
      <c r="C755" s="3"/>
      <c r="D755" s="3"/>
      <c r="E755" s="3"/>
      <c r="F755" s="3"/>
      <c r="G755" s="3"/>
    </row>
    <row r="756" spans="1:7" ht="18" customHeight="1" x14ac:dyDescent="0.35">
      <c r="A756" s="3"/>
      <c r="B756" s="3"/>
      <c r="C756" s="3"/>
      <c r="D756" s="3"/>
      <c r="E756" s="3"/>
      <c r="F756" s="3"/>
      <c r="G756" s="3"/>
    </row>
    <row r="757" spans="1:7" ht="18" customHeight="1" x14ac:dyDescent="0.35">
      <c r="A757" s="3"/>
      <c r="B757" s="3"/>
      <c r="C757" s="3"/>
      <c r="D757" s="3"/>
      <c r="E757" s="3"/>
      <c r="F757" s="3"/>
      <c r="G757" s="3"/>
    </row>
    <row r="758" spans="1:7" ht="18" customHeight="1" x14ac:dyDescent="0.35">
      <c r="A758" s="3"/>
      <c r="B758" s="3"/>
      <c r="C758" s="3"/>
      <c r="D758" s="3"/>
      <c r="E758" s="3"/>
      <c r="F758" s="3"/>
      <c r="G758" s="3"/>
    </row>
    <row r="759" spans="1:7" ht="18" customHeight="1" x14ac:dyDescent="0.35">
      <c r="A759" s="3"/>
      <c r="B759" s="3"/>
      <c r="C759" s="3"/>
      <c r="D759" s="3"/>
      <c r="E759" s="3"/>
      <c r="F759" s="3"/>
      <c r="G759" s="3"/>
    </row>
    <row r="760" spans="1:7" ht="18" customHeight="1" x14ac:dyDescent="0.35">
      <c r="A760" s="3"/>
      <c r="B760" s="3"/>
      <c r="C760" s="3"/>
      <c r="D760" s="3"/>
      <c r="E760" s="3"/>
      <c r="F760" s="3"/>
      <c r="G760" s="3"/>
    </row>
    <row r="761" spans="1:7" ht="18" customHeight="1" x14ac:dyDescent="0.35">
      <c r="A761" s="3"/>
      <c r="B761" s="3"/>
      <c r="C761" s="3"/>
      <c r="D761" s="3"/>
      <c r="E761" s="3"/>
      <c r="F761" s="3"/>
      <c r="G761" s="3"/>
    </row>
    <row r="762" spans="1:7" ht="18" customHeight="1" x14ac:dyDescent="0.35">
      <c r="A762" s="3"/>
      <c r="B762" s="3"/>
      <c r="C762" s="3"/>
      <c r="D762" s="3"/>
      <c r="E762" s="3"/>
      <c r="F762" s="3"/>
      <c r="G762" s="3"/>
    </row>
    <row r="763" spans="1:7" ht="18" customHeight="1" x14ac:dyDescent="0.35">
      <c r="A763" s="3"/>
      <c r="B763" s="3"/>
      <c r="C763" s="3"/>
      <c r="D763" s="3"/>
      <c r="E763" s="3"/>
      <c r="F763" s="3"/>
      <c r="G763" s="3"/>
    </row>
    <row r="764" spans="1:7" ht="18" customHeight="1" x14ac:dyDescent="0.35">
      <c r="A764" s="3"/>
      <c r="B764" s="3"/>
      <c r="C764" s="3"/>
      <c r="D764" s="3"/>
      <c r="E764" s="3"/>
      <c r="F764" s="3"/>
      <c r="G764" s="3"/>
    </row>
    <row r="765" spans="1:7" ht="18" customHeight="1" x14ac:dyDescent="0.35">
      <c r="A765" s="3"/>
      <c r="B765" s="3"/>
      <c r="C765" s="3"/>
      <c r="D765" s="3"/>
      <c r="E765" s="3"/>
      <c r="F765" s="3"/>
      <c r="G765" s="3"/>
    </row>
    <row r="766" spans="1:7" ht="18" customHeight="1" x14ac:dyDescent="0.35">
      <c r="A766" s="3"/>
      <c r="B766" s="3"/>
      <c r="C766" s="3"/>
      <c r="D766" s="3"/>
      <c r="E766" s="3"/>
      <c r="F766" s="3"/>
      <c r="G766" s="3"/>
    </row>
    <row r="767" spans="1:7" ht="18" customHeight="1" x14ac:dyDescent="0.35">
      <c r="A767" s="3"/>
      <c r="B767" s="3"/>
      <c r="C767" s="3"/>
      <c r="D767" s="3"/>
      <c r="E767" s="3"/>
      <c r="F767" s="3"/>
      <c r="G767" s="3"/>
    </row>
    <row r="768" spans="1:7" ht="18" customHeight="1" x14ac:dyDescent="0.35">
      <c r="A768" s="3"/>
      <c r="B768" s="3"/>
      <c r="C768" s="3"/>
      <c r="D768" s="3"/>
      <c r="E768" s="3"/>
      <c r="F768" s="3"/>
      <c r="G768" s="3"/>
    </row>
    <row r="769" spans="1:7" ht="18" customHeight="1" x14ac:dyDescent="0.35">
      <c r="A769" s="3"/>
      <c r="B769" s="3"/>
      <c r="C769" s="3"/>
      <c r="D769" s="3"/>
      <c r="E769" s="3"/>
      <c r="F769" s="3"/>
      <c r="G769" s="3"/>
    </row>
    <row r="770" spans="1:7" ht="18" customHeight="1" x14ac:dyDescent="0.35">
      <c r="A770" s="3"/>
      <c r="B770" s="3"/>
      <c r="C770" s="3"/>
      <c r="D770" s="3"/>
      <c r="E770" s="3"/>
      <c r="F770" s="3"/>
      <c r="G770" s="3"/>
    </row>
    <row r="771" spans="1:7" ht="18" customHeight="1" x14ac:dyDescent="0.35">
      <c r="A771" s="3"/>
      <c r="B771" s="3"/>
      <c r="C771" s="3"/>
      <c r="D771" s="3"/>
      <c r="E771" s="3"/>
      <c r="F771" s="3"/>
      <c r="G771" s="3"/>
    </row>
    <row r="772" spans="1:7" ht="18" customHeight="1" x14ac:dyDescent="0.35">
      <c r="A772" s="3"/>
      <c r="B772" s="3"/>
      <c r="C772" s="3"/>
      <c r="D772" s="3"/>
      <c r="E772" s="3"/>
      <c r="F772" s="3"/>
      <c r="G772" s="3"/>
    </row>
    <row r="773" spans="1:7" ht="18" customHeight="1" x14ac:dyDescent="0.35">
      <c r="A773" s="3"/>
      <c r="B773" s="3"/>
      <c r="C773" s="3"/>
      <c r="D773" s="3"/>
      <c r="E773" s="3"/>
      <c r="F773" s="3"/>
      <c r="G773" s="3"/>
    </row>
    <row r="774" spans="1:7" ht="18" customHeight="1" x14ac:dyDescent="0.35">
      <c r="A774" s="3"/>
      <c r="B774" s="3"/>
      <c r="C774" s="3"/>
      <c r="D774" s="3"/>
      <c r="E774" s="3"/>
      <c r="F774" s="3"/>
      <c r="G774" s="3"/>
    </row>
    <row r="775" spans="1:7" ht="18" customHeight="1" x14ac:dyDescent="0.35">
      <c r="A775" s="3"/>
      <c r="B775" s="3"/>
      <c r="C775" s="3"/>
      <c r="D775" s="3"/>
      <c r="E775" s="3"/>
      <c r="F775" s="3"/>
      <c r="G775" s="3"/>
    </row>
    <row r="776" spans="1:7" ht="18" customHeight="1" x14ac:dyDescent="0.35">
      <c r="A776" s="3"/>
      <c r="B776" s="3"/>
      <c r="C776" s="3"/>
      <c r="D776" s="3"/>
      <c r="E776" s="3"/>
      <c r="F776" s="3"/>
      <c r="G776" s="3"/>
    </row>
    <row r="777" spans="1:7" ht="18" customHeight="1" x14ac:dyDescent="0.35">
      <c r="A777" s="3"/>
      <c r="B777" s="3"/>
      <c r="C777" s="3"/>
      <c r="D777" s="3"/>
      <c r="E777" s="3"/>
      <c r="F777" s="3"/>
      <c r="G777" s="3"/>
    </row>
    <row r="778" spans="1:7" ht="18" customHeight="1" x14ac:dyDescent="0.35">
      <c r="A778" s="3"/>
      <c r="B778" s="3"/>
      <c r="C778" s="3"/>
      <c r="D778" s="3"/>
      <c r="E778" s="3"/>
      <c r="F778" s="3"/>
      <c r="G778" s="3"/>
    </row>
    <row r="779" spans="1:7" ht="18" customHeight="1" x14ac:dyDescent="0.35">
      <c r="A779" s="3"/>
      <c r="B779" s="3"/>
      <c r="C779" s="3"/>
      <c r="D779" s="3"/>
      <c r="E779" s="3"/>
      <c r="F779" s="3"/>
      <c r="G779" s="3"/>
    </row>
    <row r="780" spans="1:7" ht="18" customHeight="1" x14ac:dyDescent="0.35">
      <c r="A780" s="3"/>
      <c r="B780" s="3"/>
      <c r="C780" s="3"/>
      <c r="D780" s="3"/>
      <c r="E780" s="3"/>
      <c r="F780" s="3"/>
      <c r="G780" s="3"/>
    </row>
    <row r="781" spans="1:7" ht="18" customHeight="1" x14ac:dyDescent="0.35">
      <c r="A781" s="3"/>
      <c r="B781" s="3"/>
      <c r="C781" s="3"/>
      <c r="D781" s="3"/>
      <c r="E781" s="3"/>
      <c r="F781" s="3"/>
      <c r="G781" s="3"/>
    </row>
    <row r="782" spans="1:7" ht="18" customHeight="1" x14ac:dyDescent="0.35">
      <c r="A782" s="3"/>
      <c r="B782" s="3"/>
      <c r="C782" s="3"/>
      <c r="D782" s="3"/>
      <c r="E782" s="3"/>
      <c r="F782" s="3"/>
      <c r="G782" s="3"/>
    </row>
    <row r="783" spans="1:7" ht="18" customHeight="1" x14ac:dyDescent="0.35">
      <c r="A783" s="3"/>
      <c r="B783" s="3"/>
      <c r="C783" s="3"/>
      <c r="D783" s="3"/>
      <c r="E783" s="3"/>
      <c r="F783" s="3"/>
      <c r="G783" s="3"/>
    </row>
    <row r="784" spans="1:7" ht="18" customHeight="1" x14ac:dyDescent="0.35">
      <c r="A784" s="3"/>
      <c r="B784" s="3"/>
      <c r="C784" s="3"/>
      <c r="D784" s="3"/>
      <c r="E784" s="3"/>
      <c r="F784" s="3"/>
      <c r="G784" s="3"/>
    </row>
    <row r="785" spans="1:7" ht="18" customHeight="1" x14ac:dyDescent="0.35">
      <c r="A785" s="3"/>
      <c r="B785" s="3"/>
      <c r="C785" s="3"/>
      <c r="D785" s="3"/>
      <c r="E785" s="3"/>
      <c r="F785" s="3"/>
      <c r="G785" s="3"/>
    </row>
    <row r="786" spans="1:7" ht="18" customHeight="1" x14ac:dyDescent="0.35">
      <c r="A786" s="3"/>
      <c r="B786" s="3"/>
      <c r="C786" s="3"/>
      <c r="D786" s="3"/>
      <c r="E786" s="3"/>
      <c r="F786" s="3"/>
      <c r="G786" s="3"/>
    </row>
    <row r="787" spans="1:7" ht="18" customHeight="1" x14ac:dyDescent="0.35">
      <c r="A787" s="3"/>
      <c r="B787" s="3"/>
      <c r="C787" s="3"/>
      <c r="D787" s="3"/>
      <c r="E787" s="3"/>
      <c r="F787" s="3"/>
      <c r="G787" s="3"/>
    </row>
    <row r="788" spans="1:7" ht="18" customHeight="1" x14ac:dyDescent="0.35">
      <c r="A788" s="3"/>
      <c r="B788" s="3"/>
      <c r="C788" s="3"/>
      <c r="D788" s="3"/>
      <c r="E788" s="3"/>
      <c r="F788" s="3"/>
      <c r="G788" s="3"/>
    </row>
    <row r="789" spans="1:7" ht="18" customHeight="1" x14ac:dyDescent="0.35">
      <c r="A789" s="3"/>
      <c r="B789" s="3"/>
      <c r="C789" s="3"/>
      <c r="D789" s="3"/>
      <c r="E789" s="3"/>
      <c r="F789" s="3"/>
      <c r="G789" s="3"/>
    </row>
    <row r="790" spans="1:7" ht="18" customHeight="1" x14ac:dyDescent="0.35">
      <c r="A790" s="3"/>
      <c r="B790" s="3"/>
      <c r="C790" s="3"/>
      <c r="D790" s="3"/>
      <c r="E790" s="3"/>
      <c r="F790" s="3"/>
      <c r="G790" s="3"/>
    </row>
    <row r="791" spans="1:7" ht="18" customHeight="1" x14ac:dyDescent="0.35">
      <c r="A791" s="3"/>
      <c r="B791" s="3"/>
      <c r="C791" s="3"/>
      <c r="D791" s="3"/>
      <c r="E791" s="3"/>
      <c r="F791" s="3"/>
      <c r="G791" s="3"/>
    </row>
    <row r="792" spans="1:7" ht="18" customHeight="1" x14ac:dyDescent="0.35">
      <c r="A792" s="3"/>
      <c r="B792" s="3"/>
      <c r="C792" s="3"/>
      <c r="D792" s="3"/>
      <c r="E792" s="3"/>
      <c r="F792" s="3"/>
      <c r="G792" s="3"/>
    </row>
    <row r="793" spans="1:7" ht="18" customHeight="1" x14ac:dyDescent="0.35">
      <c r="A793" s="3"/>
      <c r="B793" s="3"/>
      <c r="C793" s="3"/>
      <c r="D793" s="3"/>
      <c r="E793" s="3"/>
      <c r="F793" s="3"/>
      <c r="G793" s="3"/>
    </row>
    <row r="794" spans="1:7" ht="18" customHeight="1" x14ac:dyDescent="0.35">
      <c r="A794" s="3"/>
      <c r="B794" s="3"/>
      <c r="C794" s="3"/>
      <c r="D794" s="3"/>
      <c r="E794" s="3"/>
      <c r="F794" s="3"/>
      <c r="G794" s="3"/>
    </row>
    <row r="795" spans="1:7" ht="18" customHeight="1" x14ac:dyDescent="0.35">
      <c r="A795" s="3"/>
      <c r="B795" s="3"/>
      <c r="C795" s="3"/>
      <c r="D795" s="3"/>
      <c r="E795" s="3"/>
      <c r="F795" s="3"/>
      <c r="G795" s="3"/>
    </row>
    <row r="796" spans="1:7" ht="18" customHeight="1" x14ac:dyDescent="0.35">
      <c r="A796" s="3"/>
      <c r="B796" s="3"/>
      <c r="C796" s="3"/>
      <c r="D796" s="3"/>
      <c r="E796" s="3"/>
      <c r="F796" s="3"/>
      <c r="G796" s="3"/>
    </row>
    <row r="797" spans="1:7" ht="18" customHeight="1" x14ac:dyDescent="0.35">
      <c r="A797" s="3"/>
      <c r="B797" s="3"/>
      <c r="C797" s="3"/>
      <c r="D797" s="3"/>
      <c r="E797" s="3"/>
      <c r="F797" s="3"/>
      <c r="G797" s="3"/>
    </row>
    <row r="798" spans="1:7" ht="18" customHeight="1" x14ac:dyDescent="0.35">
      <c r="A798" s="3"/>
      <c r="B798" s="3"/>
      <c r="C798" s="3"/>
      <c r="D798" s="3"/>
      <c r="E798" s="3"/>
      <c r="F798" s="3"/>
      <c r="G798" s="3"/>
    </row>
    <row r="799" spans="1:7" ht="18" customHeight="1" x14ac:dyDescent="0.35">
      <c r="A799" s="3"/>
      <c r="B799" s="3"/>
      <c r="C799" s="3"/>
      <c r="D799" s="3"/>
      <c r="E799" s="3"/>
      <c r="F799" s="3"/>
      <c r="G799" s="3"/>
    </row>
    <row r="800" spans="1:7" ht="18" customHeight="1" x14ac:dyDescent="0.35">
      <c r="A800" s="3"/>
      <c r="B800" s="3"/>
      <c r="C800" s="3"/>
      <c r="D800" s="3"/>
      <c r="E800" s="3"/>
      <c r="F800" s="3"/>
      <c r="G800" s="3"/>
    </row>
    <row r="801" spans="1:7" ht="18" customHeight="1" x14ac:dyDescent="0.35">
      <c r="A801" s="3"/>
      <c r="B801" s="3"/>
      <c r="C801" s="3"/>
      <c r="D801" s="3"/>
      <c r="E801" s="3"/>
      <c r="F801" s="3"/>
      <c r="G801" s="3"/>
    </row>
    <row r="802" spans="1:7" ht="18" customHeight="1" x14ac:dyDescent="0.35">
      <c r="A802" s="3"/>
      <c r="B802" s="3"/>
      <c r="C802" s="3"/>
      <c r="D802" s="3"/>
      <c r="E802" s="3"/>
      <c r="F802" s="3"/>
      <c r="G802" s="3"/>
    </row>
    <row r="803" spans="1:7" ht="18" customHeight="1" x14ac:dyDescent="0.35">
      <c r="A803" s="3"/>
      <c r="B803" s="3"/>
      <c r="C803" s="3"/>
      <c r="D803" s="3"/>
      <c r="E803" s="3"/>
      <c r="F803" s="3"/>
      <c r="G803" s="3"/>
    </row>
    <row r="804" spans="1:7" ht="18" customHeight="1" x14ac:dyDescent="0.35">
      <c r="A804" s="3"/>
      <c r="B804" s="3"/>
      <c r="C804" s="3"/>
      <c r="D804" s="3"/>
      <c r="E804" s="3"/>
      <c r="F804" s="3"/>
      <c r="G804" s="3"/>
    </row>
    <row r="805" spans="1:7" ht="18" customHeight="1" x14ac:dyDescent="0.35">
      <c r="A805" s="3"/>
      <c r="B805" s="3"/>
      <c r="C805" s="3"/>
      <c r="D805" s="3"/>
      <c r="E805" s="3"/>
      <c r="F805" s="3"/>
      <c r="G805" s="3"/>
    </row>
    <row r="806" spans="1:7" ht="18" customHeight="1" x14ac:dyDescent="0.35">
      <c r="A806" s="3"/>
      <c r="B806" s="3"/>
      <c r="C806" s="3"/>
      <c r="D806" s="3"/>
      <c r="E806" s="3"/>
      <c r="F806" s="3"/>
      <c r="G806" s="3"/>
    </row>
    <row r="807" spans="1:7" ht="18" customHeight="1" x14ac:dyDescent="0.35">
      <c r="A807" s="3"/>
      <c r="B807" s="3"/>
      <c r="C807" s="3"/>
      <c r="D807" s="3"/>
      <c r="E807" s="3"/>
      <c r="F807" s="3"/>
      <c r="G807" s="3"/>
    </row>
    <row r="808" spans="1:7" ht="18" customHeight="1" x14ac:dyDescent="0.35">
      <c r="A808" s="3"/>
      <c r="B808" s="3"/>
      <c r="C808" s="3"/>
      <c r="D808" s="3"/>
      <c r="E808" s="3"/>
      <c r="F808" s="3"/>
      <c r="G808" s="3"/>
    </row>
    <row r="809" spans="1:7" ht="18" customHeight="1" x14ac:dyDescent="0.35">
      <c r="A809" s="3"/>
      <c r="B809" s="3"/>
      <c r="C809" s="3"/>
      <c r="D809" s="3"/>
      <c r="E809" s="3"/>
      <c r="F809" s="3"/>
      <c r="G809" s="3"/>
    </row>
    <row r="810" spans="1:7" ht="18" customHeight="1" x14ac:dyDescent="0.35">
      <c r="A810" s="3"/>
      <c r="B810" s="3"/>
      <c r="C810" s="3"/>
      <c r="D810" s="3"/>
      <c r="E810" s="3"/>
      <c r="F810" s="3"/>
      <c r="G810" s="3"/>
    </row>
    <row r="811" spans="1:7" ht="18" customHeight="1" x14ac:dyDescent="0.35">
      <c r="A811" s="3"/>
      <c r="B811" s="3"/>
      <c r="C811" s="3"/>
      <c r="D811" s="3"/>
      <c r="E811" s="3"/>
      <c r="F811" s="3"/>
      <c r="G811" s="3"/>
    </row>
    <row r="812" spans="1:7" ht="18" customHeight="1" x14ac:dyDescent="0.35">
      <c r="A812" s="3"/>
      <c r="B812" s="3"/>
      <c r="C812" s="3"/>
      <c r="D812" s="3"/>
      <c r="E812" s="3"/>
      <c r="F812" s="3"/>
      <c r="G812" s="3"/>
    </row>
    <row r="813" spans="1:7" ht="18" customHeight="1" x14ac:dyDescent="0.35">
      <c r="A813" s="3"/>
      <c r="B813" s="3"/>
      <c r="C813" s="3"/>
      <c r="D813" s="3"/>
      <c r="E813" s="3"/>
      <c r="F813" s="3"/>
      <c r="G813" s="3"/>
    </row>
    <row r="814" spans="1:7" ht="18" customHeight="1" x14ac:dyDescent="0.35">
      <c r="A814" s="3"/>
      <c r="B814" s="3"/>
      <c r="C814" s="3"/>
      <c r="D814" s="3"/>
      <c r="E814" s="3"/>
      <c r="F814" s="3"/>
      <c r="G814" s="3"/>
    </row>
    <row r="815" spans="1:7" ht="18" customHeight="1" x14ac:dyDescent="0.35">
      <c r="A815" s="3"/>
      <c r="B815" s="3"/>
      <c r="C815" s="3"/>
      <c r="D815" s="3"/>
      <c r="E815" s="3"/>
      <c r="F815" s="3"/>
      <c r="G815" s="3"/>
    </row>
    <row r="816" spans="1:7" ht="18" customHeight="1" x14ac:dyDescent="0.35">
      <c r="A816" s="3"/>
      <c r="B816" s="3"/>
      <c r="C816" s="3"/>
      <c r="D816" s="3"/>
      <c r="E816" s="3"/>
      <c r="F816" s="3"/>
      <c r="G816" s="3"/>
    </row>
    <row r="817" spans="1:7" ht="18" customHeight="1" x14ac:dyDescent="0.35">
      <c r="A817" s="3"/>
      <c r="B817" s="3"/>
      <c r="C817" s="3"/>
      <c r="D817" s="3"/>
      <c r="E817" s="3"/>
      <c r="F817" s="3"/>
      <c r="G817" s="3"/>
    </row>
    <row r="818" spans="1:7" ht="18" customHeight="1" x14ac:dyDescent="0.35">
      <c r="A818" s="3"/>
      <c r="B818" s="3"/>
      <c r="C818" s="3"/>
      <c r="D818" s="3"/>
      <c r="E818" s="3"/>
      <c r="F818" s="3"/>
      <c r="G818" s="3"/>
    </row>
    <row r="819" spans="1:7" ht="18" customHeight="1" x14ac:dyDescent="0.35">
      <c r="A819" s="3"/>
      <c r="B819" s="3"/>
      <c r="C819" s="3"/>
      <c r="D819" s="3"/>
      <c r="E819" s="3"/>
      <c r="F819" s="3"/>
      <c r="G819" s="3"/>
    </row>
    <row r="820" spans="1:7" ht="18" customHeight="1" x14ac:dyDescent="0.35">
      <c r="A820" s="3"/>
      <c r="B820" s="3"/>
      <c r="C820" s="3"/>
      <c r="D820" s="3"/>
      <c r="E820" s="3"/>
      <c r="F820" s="3"/>
      <c r="G820" s="3"/>
    </row>
    <row r="821" spans="1:7" ht="18" customHeight="1" x14ac:dyDescent="0.35">
      <c r="A821" s="3"/>
      <c r="B821" s="3"/>
      <c r="C821" s="3"/>
      <c r="D821" s="3"/>
      <c r="E821" s="3"/>
      <c r="F821" s="3"/>
      <c r="G821" s="3"/>
    </row>
    <row r="822" spans="1:7" ht="18" customHeight="1" x14ac:dyDescent="0.35">
      <c r="A822" s="3"/>
      <c r="B822" s="3"/>
      <c r="C822" s="3"/>
      <c r="D822" s="3"/>
      <c r="E822" s="3"/>
      <c r="F822" s="3"/>
      <c r="G822" s="3"/>
    </row>
    <row r="823" spans="1:7" ht="18" customHeight="1" x14ac:dyDescent="0.35">
      <c r="A823" s="3"/>
      <c r="B823" s="3"/>
      <c r="C823" s="3"/>
      <c r="D823" s="3"/>
      <c r="E823" s="3"/>
      <c r="F823" s="3"/>
      <c r="G823" s="3"/>
    </row>
    <row r="824" spans="1:7" ht="18" customHeight="1" x14ac:dyDescent="0.35">
      <c r="A824" s="3"/>
      <c r="B824" s="3"/>
      <c r="C824" s="3"/>
      <c r="D824" s="3"/>
      <c r="E824" s="3"/>
      <c r="F824" s="3"/>
      <c r="G824" s="3"/>
    </row>
    <row r="825" spans="1:7" ht="18" customHeight="1" x14ac:dyDescent="0.35">
      <c r="A825" s="3"/>
      <c r="B825" s="3"/>
      <c r="C825" s="3"/>
      <c r="D825" s="3"/>
      <c r="E825" s="3"/>
      <c r="F825" s="3"/>
      <c r="G825" s="3"/>
    </row>
    <row r="826" spans="1:7" ht="18" customHeight="1" x14ac:dyDescent="0.35">
      <c r="A826" s="3"/>
      <c r="B826" s="3"/>
      <c r="C826" s="3"/>
      <c r="D826" s="3"/>
      <c r="E826" s="3"/>
      <c r="F826" s="3"/>
      <c r="G826" s="3"/>
    </row>
    <row r="827" spans="1:7" ht="18" customHeight="1" x14ac:dyDescent="0.35">
      <c r="A827" s="3"/>
      <c r="B827" s="3"/>
      <c r="C827" s="3"/>
      <c r="D827" s="3"/>
      <c r="E827" s="3"/>
      <c r="F827" s="3"/>
      <c r="G827" s="3"/>
    </row>
    <row r="828" spans="1:7" ht="18" customHeight="1" x14ac:dyDescent="0.35">
      <c r="A828" s="3"/>
      <c r="B828" s="3"/>
      <c r="C828" s="3"/>
      <c r="D828" s="3"/>
      <c r="E828" s="3"/>
      <c r="F828" s="3"/>
      <c r="G828" s="3"/>
    </row>
    <row r="829" spans="1:7" ht="18" customHeight="1" x14ac:dyDescent="0.35">
      <c r="A829" s="3"/>
      <c r="B829" s="3"/>
      <c r="C829" s="3"/>
      <c r="D829" s="3"/>
      <c r="E829" s="3"/>
      <c r="F829" s="3"/>
      <c r="G829" s="3"/>
    </row>
    <row r="830" spans="1:7" ht="18" customHeight="1" x14ac:dyDescent="0.35">
      <c r="A830" s="3"/>
      <c r="B830" s="3"/>
      <c r="C830" s="3"/>
      <c r="D830" s="3"/>
      <c r="E830" s="3"/>
      <c r="F830" s="3"/>
      <c r="G830" s="3"/>
    </row>
    <row r="831" spans="1:7" ht="18" customHeight="1" x14ac:dyDescent="0.35">
      <c r="A831" s="3"/>
      <c r="B831" s="3"/>
      <c r="C831" s="3"/>
      <c r="D831" s="3"/>
      <c r="E831" s="3"/>
      <c r="F831" s="3"/>
      <c r="G831" s="3"/>
    </row>
    <row r="832" spans="1:7" ht="18" customHeight="1" x14ac:dyDescent="0.35">
      <c r="A832" s="3"/>
      <c r="B832" s="3"/>
      <c r="C832" s="3"/>
      <c r="D832" s="3"/>
      <c r="E832" s="3"/>
      <c r="F832" s="3"/>
      <c r="G832" s="3"/>
    </row>
    <row r="833" spans="1:7" ht="18" customHeight="1" x14ac:dyDescent="0.35">
      <c r="A833" s="3"/>
      <c r="B833" s="3"/>
      <c r="C833" s="3"/>
      <c r="D833" s="3"/>
      <c r="E833" s="3"/>
      <c r="F833" s="3"/>
      <c r="G833" s="3"/>
    </row>
    <row r="834" spans="1:7" ht="18" customHeight="1" x14ac:dyDescent="0.35">
      <c r="A834" s="3"/>
      <c r="B834" s="3"/>
      <c r="C834" s="3"/>
      <c r="D834" s="3"/>
      <c r="E834" s="3"/>
      <c r="F834" s="3"/>
      <c r="G834" s="3"/>
    </row>
    <row r="835" spans="1:7" ht="18" customHeight="1" x14ac:dyDescent="0.35">
      <c r="A835" s="3"/>
      <c r="B835" s="3"/>
      <c r="C835" s="3"/>
      <c r="D835" s="3"/>
      <c r="E835" s="3"/>
      <c r="F835" s="3"/>
      <c r="G835" s="3"/>
    </row>
    <row r="836" spans="1:7" ht="18" customHeight="1" x14ac:dyDescent="0.35">
      <c r="A836" s="3"/>
      <c r="B836" s="3"/>
      <c r="C836" s="3"/>
      <c r="D836" s="3"/>
      <c r="E836" s="3"/>
      <c r="F836" s="3"/>
      <c r="G836" s="3"/>
    </row>
    <row r="837" spans="1:7" ht="18" customHeight="1" x14ac:dyDescent="0.35">
      <c r="A837" s="3"/>
      <c r="B837" s="3"/>
      <c r="C837" s="3"/>
      <c r="D837" s="3"/>
      <c r="E837" s="3"/>
      <c r="F837" s="3"/>
      <c r="G837" s="3"/>
    </row>
    <row r="838" spans="1:7" ht="18" customHeight="1" x14ac:dyDescent="0.35">
      <c r="A838" s="3"/>
      <c r="B838" s="3"/>
      <c r="C838" s="3"/>
      <c r="D838" s="3"/>
      <c r="E838" s="3"/>
      <c r="F838" s="3"/>
      <c r="G838" s="3"/>
    </row>
    <row r="839" spans="1:7" ht="18" customHeight="1" x14ac:dyDescent="0.35">
      <c r="A839" s="3"/>
      <c r="B839" s="3"/>
      <c r="C839" s="3"/>
      <c r="D839" s="3"/>
      <c r="E839" s="3"/>
      <c r="F839" s="3"/>
      <c r="G839" s="3"/>
    </row>
    <row r="840" spans="1:7" ht="18" customHeight="1" x14ac:dyDescent="0.35">
      <c r="A840" s="3"/>
      <c r="B840" s="3"/>
      <c r="C840" s="3"/>
      <c r="D840" s="3"/>
      <c r="E840" s="3"/>
      <c r="F840" s="3"/>
      <c r="G840" s="3"/>
    </row>
    <row r="841" spans="1:7" ht="18" customHeight="1" x14ac:dyDescent="0.35">
      <c r="A841" s="3"/>
      <c r="B841" s="3"/>
      <c r="C841" s="3"/>
      <c r="D841" s="3"/>
      <c r="E841" s="3"/>
      <c r="F841" s="3"/>
      <c r="G841" s="3"/>
    </row>
    <row r="842" spans="1:7" ht="18" customHeight="1" x14ac:dyDescent="0.35">
      <c r="A842" s="3"/>
      <c r="B842" s="3"/>
      <c r="C842" s="3"/>
      <c r="D842" s="3"/>
      <c r="E842" s="3"/>
      <c r="F842" s="3"/>
      <c r="G842" s="3"/>
    </row>
    <row r="843" spans="1:7" ht="18" customHeight="1" x14ac:dyDescent="0.35">
      <c r="A843" s="3"/>
      <c r="B843" s="3"/>
      <c r="C843" s="3"/>
      <c r="D843" s="3"/>
      <c r="E843" s="3"/>
      <c r="F843" s="3"/>
      <c r="G843" s="3"/>
    </row>
    <row r="844" spans="1:7" ht="18" customHeight="1" x14ac:dyDescent="0.35">
      <c r="A844" s="3"/>
      <c r="B844" s="3"/>
      <c r="C844" s="3"/>
      <c r="D844" s="3"/>
      <c r="E844" s="3"/>
      <c r="F844" s="3"/>
      <c r="G844" s="3"/>
    </row>
    <row r="845" spans="1:7" ht="18" customHeight="1" x14ac:dyDescent="0.35">
      <c r="A845" s="3"/>
      <c r="B845" s="3"/>
      <c r="C845" s="3"/>
      <c r="D845" s="3"/>
      <c r="E845" s="3"/>
      <c r="F845" s="3"/>
      <c r="G845" s="3"/>
    </row>
    <row r="846" spans="1:7" ht="18" customHeight="1" x14ac:dyDescent="0.35">
      <c r="A846" s="3"/>
      <c r="B846" s="3"/>
      <c r="C846" s="3"/>
      <c r="D846" s="3"/>
      <c r="E846" s="3"/>
      <c r="F846" s="3"/>
      <c r="G846" s="3"/>
    </row>
    <row r="847" spans="1:7" ht="18" customHeight="1" x14ac:dyDescent="0.35">
      <c r="A847" s="3"/>
      <c r="B847" s="3"/>
      <c r="C847" s="3"/>
      <c r="D847" s="3"/>
      <c r="E847" s="3"/>
      <c r="F847" s="3"/>
      <c r="G847" s="3"/>
    </row>
    <row r="848" spans="1:7" ht="18" customHeight="1" x14ac:dyDescent="0.35">
      <c r="A848" s="3"/>
      <c r="B848" s="3"/>
      <c r="C848" s="3"/>
      <c r="D848" s="3"/>
      <c r="E848" s="3"/>
      <c r="F848" s="3"/>
      <c r="G848" s="3"/>
    </row>
    <row r="849" spans="1:7" ht="18" customHeight="1" x14ac:dyDescent="0.35">
      <c r="A849" s="3"/>
      <c r="B849" s="3"/>
      <c r="C849" s="3"/>
      <c r="D849" s="3"/>
      <c r="E849" s="3"/>
      <c r="F849" s="3"/>
      <c r="G849" s="3"/>
    </row>
    <row r="850" spans="1:7" ht="18" customHeight="1" x14ac:dyDescent="0.35">
      <c r="A850" s="3"/>
      <c r="B850" s="3"/>
      <c r="C850" s="3"/>
      <c r="D850" s="3"/>
      <c r="E850" s="3"/>
      <c r="F850" s="3"/>
      <c r="G850" s="3"/>
    </row>
    <row r="851" spans="1:7" ht="18" customHeight="1" x14ac:dyDescent="0.35">
      <c r="A851" s="3"/>
      <c r="B851" s="3"/>
      <c r="C851" s="3"/>
      <c r="D851" s="3"/>
      <c r="E851" s="3"/>
      <c r="F851" s="3"/>
      <c r="G851" s="3"/>
    </row>
    <row r="852" spans="1:7" ht="18" customHeight="1" x14ac:dyDescent="0.35">
      <c r="A852" s="3"/>
      <c r="B852" s="3"/>
      <c r="C852" s="3"/>
      <c r="D852" s="3"/>
      <c r="E852" s="3"/>
      <c r="F852" s="3"/>
      <c r="G852" s="3"/>
    </row>
    <row r="853" spans="1:7" ht="18" customHeight="1" x14ac:dyDescent="0.35">
      <c r="A853" s="3"/>
      <c r="B853" s="3"/>
      <c r="C853" s="3"/>
      <c r="D853" s="3"/>
      <c r="E853" s="3"/>
      <c r="F853" s="3"/>
      <c r="G853" s="3"/>
    </row>
    <row r="854" spans="1:7" ht="18" customHeight="1" x14ac:dyDescent="0.35">
      <c r="A854" s="3"/>
      <c r="B854" s="3"/>
      <c r="C854" s="3"/>
      <c r="D854" s="3"/>
      <c r="E854" s="3"/>
      <c r="F854" s="3"/>
      <c r="G854" s="3"/>
    </row>
    <row r="855" spans="1:7" ht="18" customHeight="1" x14ac:dyDescent="0.35">
      <c r="A855" s="3"/>
      <c r="B855" s="3"/>
      <c r="C855" s="3"/>
      <c r="D855" s="3"/>
      <c r="E855" s="3"/>
      <c r="F855" s="3"/>
      <c r="G855" s="3"/>
    </row>
    <row r="856" spans="1:7" ht="18" customHeight="1" x14ac:dyDescent="0.35">
      <c r="A856" s="3"/>
      <c r="B856" s="3"/>
      <c r="C856" s="3"/>
      <c r="D856" s="3"/>
      <c r="E856" s="3"/>
      <c r="F856" s="3"/>
      <c r="G856" s="3"/>
    </row>
    <row r="857" spans="1:7" ht="18" customHeight="1" x14ac:dyDescent="0.35">
      <c r="A857" s="3"/>
      <c r="B857" s="3"/>
      <c r="C857" s="3"/>
      <c r="D857" s="3"/>
      <c r="E857" s="3"/>
      <c r="F857" s="3"/>
      <c r="G857" s="3"/>
    </row>
    <row r="858" spans="1:7" ht="18" customHeight="1" x14ac:dyDescent="0.35">
      <c r="A858" s="3"/>
      <c r="B858" s="3"/>
      <c r="C858" s="3"/>
      <c r="D858" s="3"/>
      <c r="E858" s="3"/>
      <c r="F858" s="3"/>
      <c r="G858" s="3"/>
    </row>
    <row r="859" spans="1:7" ht="18" customHeight="1" x14ac:dyDescent="0.35">
      <c r="A859" s="3"/>
      <c r="B859" s="3"/>
      <c r="C859" s="3"/>
      <c r="D859" s="3"/>
      <c r="E859" s="3"/>
      <c r="F859" s="3"/>
      <c r="G859" s="3"/>
    </row>
    <row r="860" spans="1:7" ht="18" customHeight="1" x14ac:dyDescent="0.35">
      <c r="A860" s="3"/>
      <c r="B860" s="3"/>
      <c r="C860" s="3"/>
      <c r="D860" s="3"/>
      <c r="E860" s="3"/>
      <c r="F860" s="3"/>
      <c r="G860" s="3"/>
    </row>
    <row r="861" spans="1:7" ht="18" customHeight="1" x14ac:dyDescent="0.35">
      <c r="A861" s="3"/>
      <c r="B861" s="3"/>
      <c r="C861" s="3"/>
      <c r="D861" s="3"/>
      <c r="E861" s="3"/>
      <c r="F861" s="3"/>
      <c r="G861" s="3"/>
    </row>
    <row r="862" spans="1:7" ht="18" customHeight="1" x14ac:dyDescent="0.35">
      <c r="A862" s="3"/>
      <c r="B862" s="3"/>
      <c r="C862" s="3"/>
      <c r="D862" s="3"/>
      <c r="E862" s="3"/>
      <c r="F862" s="3"/>
      <c r="G862" s="3"/>
    </row>
    <row r="863" spans="1:7" ht="18" customHeight="1" x14ac:dyDescent="0.35">
      <c r="A863" s="3"/>
      <c r="B863" s="3"/>
      <c r="C863" s="3"/>
      <c r="D863" s="3"/>
      <c r="E863" s="3"/>
      <c r="F863" s="3"/>
      <c r="G863" s="3"/>
    </row>
    <row r="864" spans="1:7" ht="18" customHeight="1" x14ac:dyDescent="0.35">
      <c r="A864" s="3"/>
      <c r="B864" s="3"/>
      <c r="C864" s="3"/>
      <c r="D864" s="3"/>
      <c r="E864" s="3"/>
      <c r="F864" s="3"/>
      <c r="G864" s="3"/>
    </row>
    <row r="865" spans="1:7" ht="18" customHeight="1" x14ac:dyDescent="0.35">
      <c r="A865" s="3"/>
      <c r="B865" s="3"/>
      <c r="C865" s="3"/>
      <c r="D865" s="3"/>
      <c r="E865" s="3"/>
      <c r="F865" s="3"/>
      <c r="G865" s="3"/>
    </row>
    <row r="866" spans="1:7" ht="18" customHeight="1" x14ac:dyDescent="0.35">
      <c r="A866" s="3"/>
      <c r="B866" s="3"/>
      <c r="C866" s="3"/>
      <c r="D866" s="3"/>
      <c r="E866" s="3"/>
      <c r="F866" s="3"/>
      <c r="G866" s="3"/>
    </row>
    <row r="867" spans="1:7" ht="18" customHeight="1" x14ac:dyDescent="0.35">
      <c r="A867" s="3"/>
      <c r="B867" s="3"/>
      <c r="C867" s="3"/>
      <c r="D867" s="3"/>
      <c r="E867" s="3"/>
      <c r="F867" s="3"/>
      <c r="G867" s="3"/>
    </row>
    <row r="868" spans="1:7" ht="18" customHeight="1" x14ac:dyDescent="0.35">
      <c r="A868" s="3"/>
      <c r="B868" s="3"/>
      <c r="C868" s="3"/>
      <c r="D868" s="3"/>
      <c r="E868" s="3"/>
      <c r="F868" s="3"/>
      <c r="G868" s="3"/>
    </row>
    <row r="869" spans="1:7" ht="18" customHeight="1" x14ac:dyDescent="0.35">
      <c r="A869" s="3"/>
      <c r="B869" s="3"/>
      <c r="C869" s="3"/>
      <c r="D869" s="3"/>
      <c r="E869" s="3"/>
      <c r="F869" s="3"/>
      <c r="G869" s="3"/>
    </row>
    <row r="870" spans="1:7" ht="18" customHeight="1" x14ac:dyDescent="0.35">
      <c r="A870" s="3"/>
      <c r="B870" s="3"/>
      <c r="C870" s="3"/>
      <c r="D870" s="3"/>
      <c r="E870" s="3"/>
      <c r="F870" s="3"/>
      <c r="G870" s="3"/>
    </row>
    <row r="871" spans="1:7" ht="18" customHeight="1" x14ac:dyDescent="0.35">
      <c r="A871" s="3"/>
      <c r="B871" s="3"/>
      <c r="C871" s="3"/>
      <c r="D871" s="3"/>
      <c r="E871" s="3"/>
      <c r="F871" s="3"/>
      <c r="G871" s="3"/>
    </row>
    <row r="872" spans="1:7" ht="18" customHeight="1" x14ac:dyDescent="0.35">
      <c r="A872" s="3"/>
      <c r="B872" s="3"/>
      <c r="C872" s="3"/>
      <c r="D872" s="3"/>
      <c r="E872" s="3"/>
      <c r="F872" s="3"/>
      <c r="G872" s="3"/>
    </row>
    <row r="873" spans="1:7" ht="18" customHeight="1" x14ac:dyDescent="0.35">
      <c r="A873" s="3"/>
      <c r="B873" s="3"/>
      <c r="C873" s="3"/>
      <c r="D873" s="3"/>
      <c r="E873" s="3"/>
      <c r="F873" s="3"/>
      <c r="G873" s="3"/>
    </row>
    <row r="874" spans="1:7" ht="18" customHeight="1" x14ac:dyDescent="0.35">
      <c r="A874" s="3"/>
      <c r="B874" s="3"/>
      <c r="C874" s="3"/>
      <c r="D874" s="3"/>
      <c r="E874" s="3"/>
      <c r="F874" s="3"/>
      <c r="G874" s="3"/>
    </row>
    <row r="875" spans="1:7" ht="18" customHeight="1" x14ac:dyDescent="0.35">
      <c r="A875" s="3"/>
      <c r="B875" s="3"/>
      <c r="C875" s="3"/>
      <c r="D875" s="3"/>
      <c r="E875" s="3"/>
      <c r="F875" s="3"/>
      <c r="G875" s="3"/>
    </row>
    <row r="876" spans="1:7" ht="18" customHeight="1" x14ac:dyDescent="0.35">
      <c r="A876" s="3"/>
      <c r="B876" s="3"/>
      <c r="C876" s="3"/>
      <c r="D876" s="3"/>
      <c r="E876" s="3"/>
      <c r="F876" s="3"/>
      <c r="G876" s="3"/>
    </row>
    <row r="877" spans="1:7" ht="18" customHeight="1" x14ac:dyDescent="0.35">
      <c r="A877" s="3"/>
      <c r="B877" s="3"/>
      <c r="C877" s="3"/>
      <c r="D877" s="3"/>
      <c r="E877" s="3"/>
      <c r="F877" s="3"/>
      <c r="G877" s="3"/>
    </row>
    <row r="878" spans="1:7" ht="18" customHeight="1" x14ac:dyDescent="0.35">
      <c r="A878" s="3"/>
      <c r="B878" s="3"/>
      <c r="C878" s="3"/>
      <c r="D878" s="3"/>
      <c r="E878" s="3"/>
      <c r="F878" s="3"/>
      <c r="G878" s="3"/>
    </row>
    <row r="879" spans="1:7" ht="18" customHeight="1" x14ac:dyDescent="0.35">
      <c r="A879" s="3"/>
      <c r="B879" s="3"/>
      <c r="C879" s="3"/>
      <c r="D879" s="3"/>
      <c r="E879" s="3"/>
      <c r="F879" s="3"/>
      <c r="G879" s="3"/>
    </row>
    <row r="880" spans="1:7" ht="18" customHeight="1" x14ac:dyDescent="0.35">
      <c r="A880" s="3"/>
      <c r="B880" s="3"/>
      <c r="C880" s="3"/>
      <c r="D880" s="3"/>
      <c r="E880" s="3"/>
      <c r="F880" s="3"/>
      <c r="G880" s="3"/>
    </row>
    <row r="881" spans="1:7" ht="18" customHeight="1" x14ac:dyDescent="0.35">
      <c r="A881" s="3"/>
      <c r="B881" s="3"/>
      <c r="C881" s="3"/>
      <c r="D881" s="3"/>
      <c r="E881" s="3"/>
      <c r="F881" s="3"/>
      <c r="G881" s="3"/>
    </row>
    <row r="882" spans="1:7" ht="18" customHeight="1" x14ac:dyDescent="0.35">
      <c r="A882" s="3"/>
      <c r="B882" s="3"/>
      <c r="C882" s="3"/>
      <c r="D882" s="3"/>
      <c r="E882" s="3"/>
      <c r="F882" s="3"/>
      <c r="G882" s="3"/>
    </row>
    <row r="883" spans="1:7" ht="18" customHeight="1" x14ac:dyDescent="0.35">
      <c r="A883" s="3"/>
      <c r="B883" s="3"/>
      <c r="C883" s="3"/>
      <c r="D883" s="3"/>
      <c r="E883" s="3"/>
      <c r="F883" s="3"/>
      <c r="G883" s="3"/>
    </row>
    <row r="884" spans="1:7" ht="18" customHeight="1" x14ac:dyDescent="0.35">
      <c r="A884" s="3"/>
      <c r="B884" s="3"/>
      <c r="C884" s="3"/>
      <c r="D884" s="3"/>
      <c r="E884" s="3"/>
      <c r="F884" s="3"/>
      <c r="G884" s="3"/>
    </row>
    <row r="885" spans="1:7" ht="18" customHeight="1" x14ac:dyDescent="0.35">
      <c r="A885" s="3"/>
      <c r="B885" s="3"/>
      <c r="C885" s="3"/>
      <c r="D885" s="3"/>
      <c r="E885" s="3"/>
      <c r="F885" s="3"/>
      <c r="G885" s="3"/>
    </row>
    <row r="886" spans="1:7" ht="18" customHeight="1" x14ac:dyDescent="0.35">
      <c r="A886" s="3"/>
      <c r="B886" s="3"/>
      <c r="C886" s="3"/>
      <c r="D886" s="3"/>
      <c r="E886" s="3"/>
      <c r="F886" s="3"/>
      <c r="G886" s="3"/>
    </row>
    <row r="887" spans="1:7" ht="18" customHeight="1" x14ac:dyDescent="0.35">
      <c r="A887" s="3"/>
      <c r="B887" s="3"/>
      <c r="C887" s="3"/>
      <c r="D887" s="3"/>
      <c r="E887" s="3"/>
      <c r="F887" s="3"/>
      <c r="G887" s="3"/>
    </row>
    <row r="888" spans="1:7" ht="18" customHeight="1" x14ac:dyDescent="0.35">
      <c r="A888" s="3"/>
      <c r="B888" s="3"/>
      <c r="C888" s="3"/>
      <c r="D888" s="3"/>
      <c r="E888" s="3"/>
      <c r="F888" s="3"/>
      <c r="G888" s="3"/>
    </row>
    <row r="889" spans="1:7" ht="18" customHeight="1" x14ac:dyDescent="0.35">
      <c r="A889" s="3"/>
      <c r="B889" s="3"/>
      <c r="C889" s="3"/>
      <c r="D889" s="3"/>
      <c r="E889" s="3"/>
      <c r="F889" s="3"/>
      <c r="G889" s="3"/>
    </row>
    <row r="890" spans="1:7" ht="18" customHeight="1" x14ac:dyDescent="0.35">
      <c r="A890" s="3"/>
      <c r="B890" s="3"/>
      <c r="C890" s="3"/>
      <c r="D890" s="3"/>
      <c r="E890" s="3"/>
      <c r="F890" s="3"/>
      <c r="G890" s="3"/>
    </row>
    <row r="891" spans="1:7" ht="18" customHeight="1" x14ac:dyDescent="0.35">
      <c r="A891" s="3"/>
      <c r="B891" s="3"/>
      <c r="C891" s="3"/>
      <c r="D891" s="3"/>
      <c r="E891" s="3"/>
      <c r="F891" s="3"/>
      <c r="G891" s="3"/>
    </row>
    <row r="892" spans="1:7" ht="18" customHeight="1" x14ac:dyDescent="0.35">
      <c r="A892" s="3"/>
      <c r="B892" s="3"/>
      <c r="C892" s="3"/>
      <c r="D892" s="3"/>
      <c r="E892" s="3"/>
      <c r="F892" s="3"/>
      <c r="G892" s="3"/>
    </row>
    <row r="893" spans="1:7" ht="18" customHeight="1" x14ac:dyDescent="0.35">
      <c r="A893" s="3"/>
      <c r="B893" s="3"/>
      <c r="C893" s="3"/>
      <c r="D893" s="3"/>
      <c r="E893" s="3"/>
      <c r="F893" s="3"/>
      <c r="G893" s="3"/>
    </row>
    <row r="894" spans="1:7" ht="18" customHeight="1" x14ac:dyDescent="0.35">
      <c r="A894" s="3"/>
      <c r="B894" s="3"/>
      <c r="C894" s="3"/>
      <c r="D894" s="3"/>
      <c r="E894" s="3"/>
      <c r="F894" s="3"/>
      <c r="G894" s="3"/>
    </row>
    <row r="895" spans="1:7" ht="18" customHeight="1" x14ac:dyDescent="0.35">
      <c r="A895" s="3"/>
      <c r="B895" s="3"/>
      <c r="C895" s="3"/>
      <c r="D895" s="3"/>
      <c r="E895" s="3"/>
      <c r="F895" s="3"/>
      <c r="G895" s="3"/>
    </row>
    <row r="896" spans="1:7" ht="18" customHeight="1" x14ac:dyDescent="0.35">
      <c r="A896" s="3"/>
      <c r="B896" s="3"/>
      <c r="C896" s="3"/>
      <c r="D896" s="3"/>
      <c r="E896" s="3"/>
      <c r="F896" s="3"/>
      <c r="G896" s="3"/>
    </row>
    <row r="897" spans="1:7" ht="18" customHeight="1" x14ac:dyDescent="0.35">
      <c r="A897" s="3"/>
      <c r="B897" s="3"/>
      <c r="C897" s="3"/>
      <c r="D897" s="3"/>
      <c r="E897" s="3"/>
      <c r="F897" s="3"/>
      <c r="G897" s="3"/>
    </row>
    <row r="898" spans="1:7" ht="18" customHeight="1" x14ac:dyDescent="0.35">
      <c r="A898" s="3"/>
      <c r="B898" s="3"/>
      <c r="C898" s="3"/>
      <c r="D898" s="3"/>
      <c r="E898" s="3"/>
      <c r="F898" s="3"/>
      <c r="G898" s="3"/>
    </row>
    <row r="899" spans="1:7" ht="18" customHeight="1" x14ac:dyDescent="0.35">
      <c r="A899" s="3"/>
      <c r="B899" s="3"/>
      <c r="C899" s="3"/>
      <c r="D899" s="3"/>
      <c r="E899" s="3"/>
      <c r="F899" s="3"/>
      <c r="G899" s="3"/>
    </row>
    <row r="900" spans="1:7" ht="18" customHeight="1" x14ac:dyDescent="0.35">
      <c r="A900" s="3"/>
      <c r="B900" s="3"/>
      <c r="C900" s="3"/>
      <c r="D900" s="3"/>
      <c r="E900" s="3"/>
      <c r="F900" s="3"/>
      <c r="G900" s="3"/>
    </row>
    <row r="901" spans="1:7" ht="18" customHeight="1" x14ac:dyDescent="0.35">
      <c r="A901" s="3"/>
      <c r="B901" s="3"/>
      <c r="C901" s="3"/>
      <c r="D901" s="3"/>
      <c r="E901" s="3"/>
      <c r="F901" s="3"/>
      <c r="G901" s="3"/>
    </row>
    <row r="902" spans="1:7" ht="18" customHeight="1" x14ac:dyDescent="0.35">
      <c r="A902" s="3"/>
      <c r="B902" s="3"/>
      <c r="C902" s="3"/>
      <c r="D902" s="3"/>
      <c r="E902" s="3"/>
      <c r="F902" s="3"/>
      <c r="G902" s="3"/>
    </row>
    <row r="903" spans="1:7" ht="18" customHeight="1" x14ac:dyDescent="0.35">
      <c r="A903" s="3"/>
      <c r="B903" s="3"/>
      <c r="C903" s="3"/>
      <c r="D903" s="3"/>
      <c r="E903" s="3"/>
      <c r="F903" s="3"/>
      <c r="G903" s="3"/>
    </row>
    <row r="904" spans="1:7" ht="18" customHeight="1" x14ac:dyDescent="0.35">
      <c r="A904" s="3"/>
      <c r="B904" s="3"/>
      <c r="C904" s="3"/>
      <c r="D904" s="3"/>
      <c r="E904" s="3"/>
      <c r="F904" s="3"/>
      <c r="G904" s="3"/>
    </row>
    <row r="905" spans="1:7" ht="18" customHeight="1" x14ac:dyDescent="0.35">
      <c r="A905" s="3"/>
      <c r="B905" s="3"/>
      <c r="C905" s="3"/>
      <c r="D905" s="3"/>
      <c r="E905" s="3"/>
      <c r="F905" s="3"/>
      <c r="G905" s="3"/>
    </row>
    <row r="906" spans="1:7" ht="18" customHeight="1" x14ac:dyDescent="0.35">
      <c r="A906" s="3"/>
      <c r="B906" s="3"/>
      <c r="C906" s="3"/>
      <c r="D906" s="3"/>
      <c r="E906" s="3"/>
      <c r="F906" s="3"/>
      <c r="G906" s="3"/>
    </row>
    <row r="907" spans="1:7" ht="18" customHeight="1" x14ac:dyDescent="0.35">
      <c r="A907" s="3"/>
      <c r="B907" s="3"/>
      <c r="C907" s="3"/>
      <c r="D907" s="3"/>
      <c r="E907" s="3"/>
      <c r="F907" s="3"/>
      <c r="G907" s="3"/>
    </row>
    <row r="908" spans="1:7" ht="18" customHeight="1" x14ac:dyDescent="0.35">
      <c r="A908" s="3"/>
      <c r="B908" s="3"/>
      <c r="C908" s="3"/>
      <c r="D908" s="3"/>
      <c r="E908" s="3"/>
      <c r="F908" s="3"/>
      <c r="G908" s="3"/>
    </row>
    <row r="909" spans="1:7" ht="18" customHeight="1" x14ac:dyDescent="0.35">
      <c r="A909" s="3"/>
      <c r="B909" s="3"/>
      <c r="C909" s="3"/>
      <c r="D909" s="3"/>
      <c r="E909" s="3"/>
      <c r="F909" s="3"/>
      <c r="G909" s="3"/>
    </row>
    <row r="910" spans="1:7" ht="18" customHeight="1" x14ac:dyDescent="0.35">
      <c r="A910" s="3"/>
      <c r="B910" s="3"/>
      <c r="C910" s="3"/>
      <c r="D910" s="3"/>
      <c r="E910" s="3"/>
      <c r="F910" s="3"/>
      <c r="G910" s="3"/>
    </row>
    <row r="911" spans="1:7" ht="18" customHeight="1" x14ac:dyDescent="0.35">
      <c r="A911" s="3"/>
      <c r="B911" s="3"/>
      <c r="C911" s="3"/>
      <c r="D911" s="3"/>
      <c r="E911" s="3"/>
      <c r="F911" s="3"/>
      <c r="G911" s="3"/>
    </row>
    <row r="912" spans="1:7" ht="18" customHeight="1" x14ac:dyDescent="0.35">
      <c r="A912" s="3"/>
      <c r="B912" s="3"/>
      <c r="C912" s="3"/>
      <c r="D912" s="3"/>
      <c r="E912" s="3"/>
      <c r="F912" s="3"/>
      <c r="G912" s="3"/>
    </row>
    <row r="913" spans="1:7" ht="18" customHeight="1" x14ac:dyDescent="0.35">
      <c r="A913" s="3"/>
      <c r="B913" s="3"/>
      <c r="C913" s="3"/>
      <c r="D913" s="3"/>
      <c r="E913" s="3"/>
      <c r="F913" s="3"/>
      <c r="G913" s="3"/>
    </row>
    <row r="914" spans="1:7" ht="18" customHeight="1" x14ac:dyDescent="0.35">
      <c r="A914" s="3"/>
      <c r="B914" s="3"/>
      <c r="C914" s="3"/>
      <c r="D914" s="3"/>
      <c r="E914" s="3"/>
      <c r="F914" s="3"/>
      <c r="G914" s="3"/>
    </row>
    <row r="915" spans="1:7" ht="18" customHeight="1" x14ac:dyDescent="0.35">
      <c r="A915" s="3"/>
      <c r="B915" s="3"/>
      <c r="C915" s="3"/>
      <c r="D915" s="3"/>
      <c r="E915" s="3"/>
      <c r="F915" s="3"/>
      <c r="G915" s="3"/>
    </row>
    <row r="916" spans="1:7" ht="18" customHeight="1" x14ac:dyDescent="0.35">
      <c r="A916" s="3"/>
      <c r="B916" s="3"/>
      <c r="C916" s="3"/>
      <c r="D916" s="3"/>
      <c r="E916" s="3"/>
      <c r="F916" s="3"/>
      <c r="G916" s="3"/>
    </row>
    <row r="917" spans="1:7" ht="18" customHeight="1" x14ac:dyDescent="0.35">
      <c r="A917" s="3"/>
      <c r="B917" s="3"/>
      <c r="C917" s="3"/>
      <c r="D917" s="3"/>
      <c r="E917" s="3"/>
      <c r="F917" s="3"/>
      <c r="G917" s="3"/>
    </row>
    <row r="918" spans="1:7" ht="18" customHeight="1" x14ac:dyDescent="0.35">
      <c r="A918" s="3"/>
      <c r="B918" s="3"/>
      <c r="C918" s="3"/>
      <c r="D918" s="3"/>
      <c r="E918" s="3"/>
      <c r="F918" s="3"/>
      <c r="G918" s="3"/>
    </row>
    <row r="919" spans="1:7" ht="18" customHeight="1" x14ac:dyDescent="0.35">
      <c r="A919" s="3"/>
      <c r="B919" s="3"/>
      <c r="C919" s="3"/>
      <c r="D919" s="3"/>
      <c r="E919" s="3"/>
      <c r="F919" s="3"/>
      <c r="G919" s="3"/>
    </row>
    <row r="920" spans="1:7" ht="18" customHeight="1" x14ac:dyDescent="0.35">
      <c r="A920" s="3"/>
      <c r="B920" s="3"/>
      <c r="C920" s="3"/>
      <c r="D920" s="3"/>
      <c r="E920" s="3"/>
      <c r="F920" s="3"/>
      <c r="G920" s="3"/>
    </row>
    <row r="921" spans="1:7" ht="18" customHeight="1" x14ac:dyDescent="0.35">
      <c r="A921" s="3"/>
      <c r="B921" s="3"/>
      <c r="C921" s="3"/>
      <c r="D921" s="3"/>
      <c r="E921" s="3"/>
      <c r="F921" s="3"/>
      <c r="G921" s="3"/>
    </row>
    <row r="922" spans="1:7" ht="18" customHeight="1" x14ac:dyDescent="0.35">
      <c r="A922" s="3"/>
      <c r="B922" s="3"/>
      <c r="C922" s="3"/>
      <c r="D922" s="3"/>
      <c r="E922" s="3"/>
      <c r="F922" s="3"/>
      <c r="G922" s="3"/>
    </row>
    <row r="923" spans="1:7" ht="18" customHeight="1" x14ac:dyDescent="0.35">
      <c r="A923" s="3"/>
      <c r="B923" s="3"/>
      <c r="C923" s="3"/>
      <c r="D923" s="3"/>
      <c r="E923" s="3"/>
      <c r="F923" s="3"/>
      <c r="G923" s="3"/>
    </row>
    <row r="924" spans="1:7" ht="18" customHeight="1" x14ac:dyDescent="0.35">
      <c r="A924" s="3"/>
      <c r="B924" s="3"/>
      <c r="C924" s="3"/>
      <c r="D924" s="3"/>
      <c r="E924" s="3"/>
      <c r="F924" s="3"/>
      <c r="G924" s="3"/>
    </row>
    <row r="925" spans="1:7" ht="18" customHeight="1" x14ac:dyDescent="0.35">
      <c r="A925" s="3"/>
      <c r="B925" s="3"/>
      <c r="C925" s="3"/>
      <c r="D925" s="3"/>
      <c r="E925" s="3"/>
      <c r="F925" s="3"/>
      <c r="G925" s="3"/>
    </row>
    <row r="926" spans="1:7" ht="18" customHeight="1" x14ac:dyDescent="0.35">
      <c r="A926" s="3"/>
      <c r="B926" s="3"/>
      <c r="C926" s="3"/>
      <c r="D926" s="3"/>
      <c r="E926" s="3"/>
      <c r="F926" s="3"/>
      <c r="G926" s="3"/>
    </row>
    <row r="927" spans="1:7" ht="18" customHeight="1" x14ac:dyDescent="0.35">
      <c r="A927" s="3"/>
      <c r="B927" s="3"/>
      <c r="C927" s="3"/>
      <c r="D927" s="3"/>
      <c r="E927" s="3"/>
      <c r="F927" s="3"/>
      <c r="G927" s="3"/>
    </row>
    <row r="928" spans="1:7" ht="18" customHeight="1" x14ac:dyDescent="0.35">
      <c r="A928" s="3"/>
      <c r="B928" s="3"/>
      <c r="C928" s="3"/>
      <c r="D928" s="3"/>
      <c r="E928" s="3"/>
      <c r="F928" s="3"/>
      <c r="G928" s="3"/>
    </row>
    <row r="929" spans="1:7" ht="18" customHeight="1" x14ac:dyDescent="0.35">
      <c r="A929" s="3"/>
      <c r="B929" s="3"/>
      <c r="C929" s="3"/>
      <c r="D929" s="3"/>
      <c r="E929" s="3"/>
      <c r="F929" s="3"/>
      <c r="G929" s="3"/>
    </row>
    <row r="930" spans="1:7" ht="18" customHeight="1" x14ac:dyDescent="0.35">
      <c r="A930" s="3"/>
      <c r="B930" s="3"/>
      <c r="C930" s="3"/>
      <c r="D930" s="3"/>
      <c r="E930" s="3"/>
      <c r="F930" s="3"/>
      <c r="G930" s="3"/>
    </row>
    <row r="931" spans="1:7" ht="18" customHeight="1" x14ac:dyDescent="0.35">
      <c r="A931" s="3"/>
      <c r="B931" s="3"/>
      <c r="C931" s="3"/>
      <c r="D931" s="3"/>
      <c r="E931" s="3"/>
      <c r="F931" s="3"/>
      <c r="G931" s="3"/>
    </row>
    <row r="932" spans="1:7" ht="18" customHeight="1" x14ac:dyDescent="0.35">
      <c r="A932" s="3"/>
      <c r="B932" s="3"/>
      <c r="C932" s="3"/>
      <c r="D932" s="3"/>
      <c r="E932" s="3"/>
      <c r="F932" s="3"/>
      <c r="G932" s="3"/>
    </row>
    <row r="933" spans="1:7" ht="18" customHeight="1" x14ac:dyDescent="0.35">
      <c r="A933" s="3"/>
      <c r="B933" s="3"/>
      <c r="C933" s="3"/>
      <c r="D933" s="3"/>
      <c r="E933" s="3"/>
      <c r="F933" s="3"/>
      <c r="G933" s="3"/>
    </row>
    <row r="934" spans="1:7" ht="18" customHeight="1" x14ac:dyDescent="0.35">
      <c r="A934" s="3"/>
      <c r="B934" s="3"/>
      <c r="C934" s="3"/>
      <c r="D934" s="3"/>
      <c r="E934" s="3"/>
      <c r="F934" s="3"/>
      <c r="G934" s="3"/>
    </row>
    <row r="935" spans="1:7" ht="18" customHeight="1" x14ac:dyDescent="0.35">
      <c r="A935" s="3"/>
      <c r="B935" s="3"/>
      <c r="C935" s="3"/>
      <c r="D935" s="3"/>
      <c r="E935" s="3"/>
      <c r="F935" s="3"/>
      <c r="G935" s="3"/>
    </row>
    <row r="936" spans="1:7" ht="18" customHeight="1" x14ac:dyDescent="0.35">
      <c r="A936" s="3"/>
      <c r="B936" s="3"/>
      <c r="C936" s="3"/>
      <c r="D936" s="3"/>
      <c r="E936" s="3"/>
      <c r="F936" s="3"/>
      <c r="G936" s="3"/>
    </row>
    <row r="937" spans="1:7" ht="18" customHeight="1" x14ac:dyDescent="0.35">
      <c r="A937" s="3"/>
      <c r="B937" s="3"/>
      <c r="C937" s="3"/>
      <c r="D937" s="3"/>
      <c r="E937" s="3"/>
      <c r="F937" s="3"/>
      <c r="G937" s="3"/>
    </row>
    <row r="938" spans="1:7" ht="18" customHeight="1" x14ac:dyDescent="0.35">
      <c r="A938" s="3"/>
      <c r="B938" s="3"/>
      <c r="C938" s="3"/>
      <c r="D938" s="3"/>
      <c r="E938" s="3"/>
      <c r="F938" s="3"/>
      <c r="G938" s="3"/>
    </row>
    <row r="939" spans="1:7" ht="18" customHeight="1" x14ac:dyDescent="0.35">
      <c r="A939" s="3"/>
      <c r="B939" s="3"/>
      <c r="C939" s="3"/>
      <c r="D939" s="3"/>
      <c r="E939" s="3"/>
      <c r="F939" s="3"/>
      <c r="G939" s="3"/>
    </row>
    <row r="940" spans="1:7" ht="18" customHeight="1" x14ac:dyDescent="0.35">
      <c r="A940" s="3"/>
      <c r="B940" s="3"/>
      <c r="C940" s="3"/>
      <c r="D940" s="3"/>
      <c r="E940" s="3"/>
      <c r="F940" s="3"/>
      <c r="G940" s="3"/>
    </row>
    <row r="941" spans="1:7" ht="18" customHeight="1" x14ac:dyDescent="0.35">
      <c r="A941" s="3"/>
      <c r="B941" s="3"/>
      <c r="C941" s="3"/>
      <c r="D941" s="3"/>
      <c r="E941" s="3"/>
      <c r="F941" s="3"/>
      <c r="G941" s="3"/>
    </row>
    <row r="942" spans="1:7" ht="18" customHeight="1" x14ac:dyDescent="0.35">
      <c r="A942" s="3"/>
      <c r="B942" s="3"/>
      <c r="C942" s="3"/>
      <c r="D942" s="3"/>
      <c r="E942" s="3"/>
      <c r="F942" s="3"/>
      <c r="G942" s="3"/>
    </row>
    <row r="943" spans="1:7" ht="18" customHeight="1" x14ac:dyDescent="0.35">
      <c r="A943" s="3"/>
      <c r="B943" s="3"/>
      <c r="C943" s="3"/>
      <c r="D943" s="3"/>
      <c r="E943" s="3"/>
      <c r="F943" s="3"/>
      <c r="G943" s="3"/>
    </row>
    <row r="944" spans="1:7" ht="18" customHeight="1" x14ac:dyDescent="0.35">
      <c r="A944" s="3"/>
      <c r="B944" s="3"/>
      <c r="C944" s="3"/>
      <c r="D944" s="3"/>
      <c r="E944" s="3"/>
      <c r="F944" s="3"/>
      <c r="G944" s="3"/>
    </row>
    <row r="945" spans="1:7" ht="18" customHeight="1" x14ac:dyDescent="0.35">
      <c r="A945" s="3"/>
      <c r="B945" s="3"/>
      <c r="C945" s="3"/>
      <c r="D945" s="3"/>
      <c r="E945" s="3"/>
      <c r="F945" s="3"/>
      <c r="G945" s="3"/>
    </row>
    <row r="946" spans="1:7" ht="18" customHeight="1" x14ac:dyDescent="0.35">
      <c r="A946" s="3"/>
      <c r="B946" s="3"/>
      <c r="C946" s="3"/>
      <c r="D946" s="3"/>
      <c r="E946" s="3"/>
      <c r="F946" s="3"/>
      <c r="G946" s="3"/>
    </row>
    <row r="947" spans="1:7" ht="18" customHeight="1" x14ac:dyDescent="0.35">
      <c r="A947" s="3"/>
      <c r="B947" s="3"/>
      <c r="C947" s="3"/>
      <c r="D947" s="3"/>
      <c r="E947" s="3"/>
      <c r="F947" s="3"/>
      <c r="G947" s="3"/>
    </row>
    <row r="948" spans="1:7" ht="18" customHeight="1" x14ac:dyDescent="0.35">
      <c r="A948" s="3"/>
      <c r="B948" s="3"/>
      <c r="C948" s="3"/>
      <c r="D948" s="3"/>
      <c r="E948" s="3"/>
      <c r="F948" s="3"/>
      <c r="G948" s="3"/>
    </row>
    <row r="949" spans="1:7" ht="18" customHeight="1" x14ac:dyDescent="0.35">
      <c r="A949" s="3"/>
      <c r="B949" s="3"/>
      <c r="C949" s="3"/>
      <c r="D949" s="3"/>
      <c r="E949" s="3"/>
      <c r="F949" s="3"/>
      <c r="G949" s="3"/>
    </row>
    <row r="950" spans="1:7" ht="18" customHeight="1" x14ac:dyDescent="0.35">
      <c r="A950" s="3"/>
      <c r="B950" s="3"/>
      <c r="C950" s="3"/>
      <c r="D950" s="3"/>
      <c r="E950" s="3"/>
      <c r="F950" s="3"/>
      <c r="G950" s="3"/>
    </row>
    <row r="951" spans="1:7" ht="18" customHeight="1" x14ac:dyDescent="0.35">
      <c r="A951" s="3"/>
      <c r="B951" s="3"/>
      <c r="C951" s="3"/>
      <c r="D951" s="3"/>
      <c r="E951" s="3"/>
      <c r="F951" s="3"/>
      <c r="G951" s="3"/>
    </row>
    <row r="952" spans="1:7" ht="18" customHeight="1" x14ac:dyDescent="0.35">
      <c r="A952" s="3"/>
      <c r="B952" s="3"/>
      <c r="C952" s="3"/>
      <c r="D952" s="3"/>
      <c r="E952" s="3"/>
      <c r="F952" s="3"/>
      <c r="G952" s="3"/>
    </row>
    <row r="953" spans="1:7" ht="18" customHeight="1" x14ac:dyDescent="0.35">
      <c r="A953" s="3"/>
      <c r="B953" s="3"/>
      <c r="C953" s="3"/>
      <c r="D953" s="3"/>
      <c r="E953" s="3"/>
      <c r="F953" s="3"/>
      <c r="G953" s="3"/>
    </row>
    <row r="954" spans="1:7" ht="18" customHeight="1" x14ac:dyDescent="0.35">
      <c r="A954" s="3"/>
      <c r="B954" s="3"/>
      <c r="C954" s="3"/>
      <c r="D954" s="3"/>
      <c r="E954" s="3"/>
      <c r="F954" s="3"/>
      <c r="G954" s="3"/>
    </row>
    <row r="955" spans="1:7" ht="18" customHeight="1" x14ac:dyDescent="0.35">
      <c r="A955" s="3"/>
      <c r="B955" s="3"/>
      <c r="C955" s="3"/>
      <c r="D955" s="3"/>
      <c r="E955" s="3"/>
      <c r="F955" s="3"/>
      <c r="G955" s="3"/>
    </row>
    <row r="956" spans="1:7" ht="18" customHeight="1" x14ac:dyDescent="0.35">
      <c r="A956" s="3"/>
      <c r="B956" s="3"/>
      <c r="C956" s="3"/>
      <c r="D956" s="3"/>
      <c r="E956" s="3"/>
      <c r="F956" s="3"/>
      <c r="G956" s="3"/>
    </row>
    <row r="957" spans="1:7" ht="18" customHeight="1" x14ac:dyDescent="0.35">
      <c r="A957" s="3"/>
      <c r="B957" s="3"/>
      <c r="C957" s="3"/>
      <c r="D957" s="3"/>
      <c r="E957" s="3"/>
      <c r="F957" s="3"/>
      <c r="G957" s="3"/>
    </row>
    <row r="958" spans="1:7" ht="18" customHeight="1" x14ac:dyDescent="0.35">
      <c r="A958" s="3"/>
      <c r="B958" s="3"/>
      <c r="C958" s="3"/>
      <c r="D958" s="3"/>
      <c r="E958" s="3"/>
      <c r="F958" s="3"/>
      <c r="G958" s="3"/>
    </row>
    <row r="959" spans="1:7" ht="18" customHeight="1" x14ac:dyDescent="0.35">
      <c r="A959" s="3"/>
      <c r="B959" s="3"/>
      <c r="C959" s="3"/>
      <c r="D959" s="3"/>
      <c r="E959" s="3"/>
      <c r="F959" s="3"/>
      <c r="G959" s="3"/>
    </row>
    <row r="960" spans="1:7" ht="18" customHeight="1" x14ac:dyDescent="0.35">
      <c r="A960" s="3"/>
      <c r="B960" s="3"/>
      <c r="C960" s="3"/>
      <c r="D960" s="3"/>
      <c r="E960" s="3"/>
      <c r="F960" s="3"/>
      <c r="G960" s="3"/>
    </row>
    <row r="961" spans="1:7" ht="18" customHeight="1" x14ac:dyDescent="0.35">
      <c r="A961" s="3"/>
      <c r="B961" s="3"/>
      <c r="C961" s="3"/>
      <c r="D961" s="3"/>
      <c r="E961" s="3"/>
      <c r="F961" s="3"/>
      <c r="G961" s="3"/>
    </row>
    <row r="962" spans="1:7" ht="18" customHeight="1" x14ac:dyDescent="0.35">
      <c r="A962" s="3"/>
      <c r="B962" s="3"/>
      <c r="C962" s="3"/>
      <c r="D962" s="3"/>
      <c r="E962" s="3"/>
      <c r="F962" s="3"/>
      <c r="G962" s="3"/>
    </row>
    <row r="963" spans="1:7" ht="18" customHeight="1" x14ac:dyDescent="0.35">
      <c r="A963" s="3"/>
      <c r="B963" s="3"/>
      <c r="C963" s="3"/>
      <c r="D963" s="3"/>
      <c r="E963" s="3"/>
      <c r="F963" s="3"/>
      <c r="G963" s="3"/>
    </row>
    <row r="964" spans="1:7" ht="18" customHeight="1" x14ac:dyDescent="0.35">
      <c r="A964" s="3"/>
      <c r="B964" s="3"/>
      <c r="C964" s="3"/>
      <c r="D964" s="3"/>
      <c r="E964" s="3"/>
      <c r="F964" s="3"/>
      <c r="G964" s="3"/>
    </row>
    <row r="965" spans="1:7" ht="18" customHeight="1" x14ac:dyDescent="0.35">
      <c r="A965" s="3"/>
      <c r="B965" s="3"/>
      <c r="C965" s="3"/>
      <c r="D965" s="3"/>
      <c r="E965" s="3"/>
      <c r="F965" s="3"/>
      <c r="G965" s="3"/>
    </row>
    <row r="966" spans="1:7" ht="18" customHeight="1" x14ac:dyDescent="0.35">
      <c r="A966" s="3"/>
      <c r="B966" s="3"/>
      <c r="C966" s="3"/>
      <c r="D966" s="3"/>
      <c r="E966" s="3"/>
      <c r="F966" s="3"/>
      <c r="G966" s="3"/>
    </row>
    <row r="967" spans="1:7" ht="18" customHeight="1" x14ac:dyDescent="0.35">
      <c r="A967" s="3"/>
      <c r="B967" s="3"/>
      <c r="C967" s="3"/>
      <c r="D967" s="3"/>
      <c r="E967" s="3"/>
      <c r="F967" s="3"/>
      <c r="G967" s="3"/>
    </row>
    <row r="968" spans="1:7" ht="18" customHeight="1" x14ac:dyDescent="0.35">
      <c r="A968" s="3"/>
      <c r="B968" s="3"/>
      <c r="C968" s="3"/>
      <c r="D968" s="3"/>
      <c r="E968" s="3"/>
      <c r="F968" s="3"/>
      <c r="G968" s="3"/>
    </row>
    <row r="969" spans="1:7" ht="18" customHeight="1" x14ac:dyDescent="0.35">
      <c r="A969" s="3"/>
      <c r="B969" s="3"/>
      <c r="C969" s="3"/>
      <c r="D969" s="3"/>
      <c r="E969" s="3"/>
      <c r="F969" s="3"/>
      <c r="G969" s="3"/>
    </row>
    <row r="970" spans="1:7" ht="18" customHeight="1" x14ac:dyDescent="0.35">
      <c r="A970" s="3"/>
      <c r="B970" s="3"/>
      <c r="C970" s="3"/>
      <c r="D970" s="3"/>
      <c r="E970" s="3"/>
      <c r="F970" s="3"/>
      <c r="G970" s="3"/>
    </row>
    <row r="971" spans="1:7" ht="18" customHeight="1" x14ac:dyDescent="0.35">
      <c r="A971" s="3"/>
      <c r="B971" s="3"/>
      <c r="C971" s="3"/>
      <c r="D971" s="3"/>
      <c r="E971" s="3"/>
      <c r="F971" s="3"/>
      <c r="G971" s="3"/>
    </row>
    <row r="972" spans="1:7" ht="18" customHeight="1" x14ac:dyDescent="0.35">
      <c r="A972" s="3"/>
      <c r="B972" s="3"/>
      <c r="C972" s="3"/>
      <c r="D972" s="3"/>
      <c r="E972" s="3"/>
      <c r="F972" s="3"/>
      <c r="G972" s="3"/>
    </row>
    <row r="973" spans="1:7" ht="18" customHeight="1" x14ac:dyDescent="0.35">
      <c r="A973" s="3"/>
      <c r="B973" s="3"/>
      <c r="C973" s="3"/>
      <c r="D973" s="3"/>
      <c r="E973" s="3"/>
      <c r="F973" s="3"/>
      <c r="G973" s="3"/>
    </row>
    <row r="974" spans="1:7" ht="18" customHeight="1" x14ac:dyDescent="0.35">
      <c r="A974" s="3"/>
      <c r="B974" s="3"/>
      <c r="C974" s="3"/>
      <c r="D974" s="3"/>
      <c r="E974" s="3"/>
      <c r="F974" s="3"/>
      <c r="G974" s="3"/>
    </row>
    <row r="975" spans="1:7" ht="18" customHeight="1" x14ac:dyDescent="0.35">
      <c r="A975" s="3"/>
      <c r="B975" s="3"/>
      <c r="C975" s="3"/>
      <c r="D975" s="3"/>
      <c r="E975" s="3"/>
      <c r="F975" s="3"/>
      <c r="G975" s="3"/>
    </row>
    <row r="976" spans="1:7" ht="18" customHeight="1" x14ac:dyDescent="0.35">
      <c r="A976" s="3"/>
      <c r="B976" s="3"/>
      <c r="C976" s="3"/>
      <c r="D976" s="3"/>
      <c r="E976" s="3"/>
      <c r="F976" s="3"/>
      <c r="G976" s="3"/>
    </row>
    <row r="977" spans="1:7" ht="18" customHeight="1" x14ac:dyDescent="0.35">
      <c r="A977" s="3"/>
      <c r="B977" s="3"/>
      <c r="C977" s="3"/>
      <c r="D977" s="3"/>
      <c r="E977" s="3"/>
      <c r="F977" s="3"/>
      <c r="G977" s="3"/>
    </row>
    <row r="978" spans="1:7" ht="18" customHeight="1" x14ac:dyDescent="0.35">
      <c r="A978" s="3"/>
      <c r="B978" s="3"/>
      <c r="C978" s="3"/>
      <c r="D978" s="3"/>
      <c r="E978" s="3"/>
      <c r="F978" s="3"/>
      <c r="G978" s="3"/>
    </row>
    <row r="979" spans="1:7" ht="18" customHeight="1" x14ac:dyDescent="0.35">
      <c r="A979" s="3"/>
      <c r="B979" s="3"/>
      <c r="C979" s="3"/>
      <c r="D979" s="3"/>
      <c r="E979" s="3"/>
      <c r="F979" s="3"/>
      <c r="G979" s="3"/>
    </row>
    <row r="980" spans="1:7" ht="18" customHeight="1" x14ac:dyDescent="0.35">
      <c r="A980" s="3"/>
      <c r="B980" s="3"/>
      <c r="C980" s="3"/>
      <c r="D980" s="3"/>
      <c r="E980" s="3"/>
      <c r="F980" s="3"/>
      <c r="G980" s="3"/>
    </row>
    <row r="981" spans="1:7" ht="18" customHeight="1" x14ac:dyDescent="0.35">
      <c r="A981" s="3"/>
      <c r="B981" s="3"/>
      <c r="C981" s="3"/>
      <c r="D981" s="3"/>
      <c r="E981" s="3"/>
      <c r="F981" s="3"/>
      <c r="G981" s="3"/>
    </row>
    <row r="982" spans="1:7" ht="18" customHeight="1" x14ac:dyDescent="0.35">
      <c r="A982" s="3"/>
      <c r="B982" s="3"/>
      <c r="C982" s="3"/>
      <c r="D982" s="3"/>
      <c r="E982" s="3"/>
      <c r="F982" s="3"/>
      <c r="G982" s="3"/>
    </row>
    <row r="983" spans="1:7" ht="18" customHeight="1" x14ac:dyDescent="0.35">
      <c r="A983" s="3"/>
      <c r="B983" s="3"/>
      <c r="C983" s="3"/>
      <c r="D983" s="3"/>
      <c r="E983" s="3"/>
      <c r="F983" s="3"/>
      <c r="G983" s="3"/>
    </row>
    <row r="984" spans="1:7" ht="18" customHeight="1" x14ac:dyDescent="0.35">
      <c r="A984" s="3"/>
      <c r="B984" s="3"/>
      <c r="C984" s="3"/>
      <c r="D984" s="3"/>
      <c r="E984" s="3"/>
      <c r="F984" s="3"/>
      <c r="G984" s="3"/>
    </row>
    <row r="985" spans="1:7" ht="18" customHeight="1" x14ac:dyDescent="0.35">
      <c r="A985" s="3"/>
      <c r="B985" s="3"/>
      <c r="C985" s="3"/>
      <c r="D985" s="3"/>
      <c r="E985" s="3"/>
      <c r="F985" s="3"/>
      <c r="G985" s="3"/>
    </row>
    <row r="986" spans="1:7" ht="18" customHeight="1" x14ac:dyDescent="0.35">
      <c r="A986" s="3"/>
      <c r="B986" s="3"/>
      <c r="C986" s="3"/>
      <c r="D986" s="3"/>
      <c r="E986" s="3"/>
      <c r="F986" s="3"/>
      <c r="G986" s="3"/>
    </row>
    <row r="987" spans="1:7" ht="18" customHeight="1" x14ac:dyDescent="0.35">
      <c r="A987" s="3"/>
      <c r="B987" s="3"/>
      <c r="C987" s="3"/>
      <c r="D987" s="3"/>
      <c r="E987" s="3"/>
      <c r="F987" s="3"/>
      <c r="G987" s="3"/>
    </row>
    <row r="988" spans="1:7" ht="18" customHeight="1" x14ac:dyDescent="0.35">
      <c r="A988" s="3"/>
      <c r="B988" s="3"/>
      <c r="C988" s="3"/>
      <c r="D988" s="3"/>
      <c r="E988" s="3"/>
      <c r="F988" s="3"/>
      <c r="G988" s="3"/>
    </row>
    <row r="989" spans="1:7" ht="18" customHeight="1" x14ac:dyDescent="0.35">
      <c r="A989" s="3"/>
      <c r="B989" s="3"/>
      <c r="C989" s="3"/>
      <c r="D989" s="3"/>
      <c r="E989" s="3"/>
      <c r="F989" s="3"/>
      <c r="G989" s="3"/>
    </row>
    <row r="990" spans="1:7" ht="18" customHeight="1" x14ac:dyDescent="0.35">
      <c r="A990" s="3"/>
      <c r="B990" s="3"/>
      <c r="C990" s="3"/>
      <c r="D990" s="3"/>
      <c r="E990" s="3"/>
      <c r="F990" s="3"/>
      <c r="G990" s="3"/>
    </row>
    <row r="991" spans="1:7" ht="18" customHeight="1" x14ac:dyDescent="0.35">
      <c r="A991" s="3"/>
      <c r="B991" s="3"/>
      <c r="C991" s="3"/>
      <c r="D991" s="3"/>
      <c r="E991" s="3"/>
      <c r="F991" s="3"/>
      <c r="G991" s="3"/>
    </row>
    <row r="992" spans="1:7" ht="18" customHeight="1" x14ac:dyDescent="0.35">
      <c r="A992" s="3"/>
      <c r="B992" s="3"/>
      <c r="C992" s="3"/>
      <c r="D992" s="3"/>
      <c r="E992" s="3"/>
      <c r="F992" s="3"/>
      <c r="G992" s="3"/>
    </row>
    <row r="993" spans="1:7" ht="18" customHeight="1" x14ac:dyDescent="0.35">
      <c r="A993" s="3"/>
      <c r="B993" s="3"/>
      <c r="C993" s="3"/>
      <c r="D993" s="3"/>
      <c r="E993" s="3"/>
      <c r="F993" s="3"/>
      <c r="G993" s="3"/>
    </row>
    <row r="994" spans="1:7" ht="18" customHeight="1" x14ac:dyDescent="0.35">
      <c r="A994" s="3"/>
      <c r="B994" s="3"/>
      <c r="C994" s="3"/>
      <c r="D994" s="3"/>
      <c r="E994" s="3"/>
      <c r="F994" s="3"/>
      <c r="G994" s="3"/>
    </row>
    <row r="995" spans="1:7" ht="18" customHeight="1" x14ac:dyDescent="0.35">
      <c r="A995" s="3"/>
      <c r="B995" s="3"/>
      <c r="C995" s="3"/>
      <c r="D995" s="3"/>
      <c r="E995" s="3"/>
      <c r="F995" s="3"/>
      <c r="G995" s="3"/>
    </row>
    <row r="996" spans="1:7" ht="18" customHeight="1" x14ac:dyDescent="0.35">
      <c r="A996" s="3"/>
      <c r="B996" s="3"/>
      <c r="C996" s="3"/>
      <c r="D996" s="3"/>
      <c r="E996" s="3"/>
      <c r="F996" s="3"/>
      <c r="G996" s="3"/>
    </row>
    <row r="997" spans="1:7" ht="18" customHeight="1" x14ac:dyDescent="0.35">
      <c r="A997" s="3"/>
      <c r="B997" s="3"/>
      <c r="C997" s="3"/>
      <c r="D997" s="3"/>
      <c r="E997" s="3"/>
      <c r="F997" s="3"/>
      <c r="G997" s="3"/>
    </row>
    <row r="998" spans="1:7" ht="18" customHeight="1" x14ac:dyDescent="0.35">
      <c r="A998" s="3"/>
      <c r="B998" s="3"/>
      <c r="C998" s="3"/>
      <c r="D998" s="3"/>
      <c r="E998" s="3"/>
      <c r="F998" s="3"/>
      <c r="G998" s="3"/>
    </row>
    <row r="999" spans="1:7" ht="18" customHeight="1" x14ac:dyDescent="0.35">
      <c r="A999" s="3"/>
      <c r="B999" s="3"/>
      <c r="C999" s="3"/>
      <c r="D999" s="3"/>
      <c r="E999" s="3"/>
      <c r="F999" s="3"/>
      <c r="G999" s="3"/>
    </row>
    <row r="1000" spans="1:7" ht="18" customHeight="1" x14ac:dyDescent="0.35">
      <c r="A1000" s="3"/>
      <c r="B1000" s="3"/>
      <c r="C1000" s="3"/>
      <c r="D1000" s="3"/>
      <c r="E1000" s="3"/>
      <c r="F1000" s="3"/>
      <c r="G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B10" sqref="B10"/>
    </sheetView>
  </sheetViews>
  <sheetFormatPr defaultColWidth="14.453125" defaultRowHeight="15" customHeight="1" x14ac:dyDescent="0.35"/>
  <cols>
    <col min="1" max="1" width="8.26953125" customWidth="1"/>
    <col min="2" max="2" width="17.81640625" customWidth="1"/>
    <col min="3" max="26" width="8.7265625" customWidth="1"/>
  </cols>
  <sheetData>
    <row r="1" spans="1:4" ht="18" customHeight="1" x14ac:dyDescent="0.35">
      <c r="A1" s="1" t="s">
        <v>4</v>
      </c>
      <c r="B1" s="1" t="s">
        <v>70</v>
      </c>
    </row>
    <row r="2" spans="1:4" ht="18" customHeight="1" x14ac:dyDescent="0.35">
      <c r="A2" s="2" t="s">
        <v>11</v>
      </c>
      <c r="B2" s="20">
        <v>68500</v>
      </c>
      <c r="D2" s="21"/>
    </row>
    <row r="3" spans="1:4" ht="18" customHeight="1" x14ac:dyDescent="0.35">
      <c r="A3" s="2" t="s">
        <v>18</v>
      </c>
      <c r="B3" s="20">
        <v>60000</v>
      </c>
      <c r="D3" s="21"/>
    </row>
    <row r="4" spans="1:4" ht="18" customHeight="1" x14ac:dyDescent="0.35">
      <c r="A4" s="2" t="s">
        <v>23</v>
      </c>
      <c r="B4" s="20">
        <v>50000</v>
      </c>
      <c r="D4" s="21"/>
    </row>
    <row r="5" spans="1:4" ht="18" customHeight="1" x14ac:dyDescent="0.35">
      <c r="A5" s="2" t="s">
        <v>30</v>
      </c>
      <c r="B5" s="20">
        <v>55000</v>
      </c>
      <c r="D5" s="21"/>
    </row>
    <row r="6" spans="1:4" ht="18" customHeight="1" x14ac:dyDescent="0.35">
      <c r="A6" s="2" t="s">
        <v>35</v>
      </c>
      <c r="B6" s="20">
        <v>45000</v>
      </c>
      <c r="D6" s="21"/>
    </row>
    <row r="7" spans="1:4" ht="14.25" customHeight="1" x14ac:dyDescent="0.35"/>
    <row r="8" spans="1:4" ht="14.25" customHeight="1" x14ac:dyDescent="0.35"/>
    <row r="9" spans="1:4" ht="14.25" customHeight="1" x14ac:dyDescent="0.35"/>
    <row r="10" spans="1:4" ht="14.25" customHeight="1" x14ac:dyDescent="0.35"/>
    <row r="11" spans="1:4" ht="14.25" customHeight="1" x14ac:dyDescent="0.35"/>
    <row r="12" spans="1:4" ht="14.25" customHeight="1" x14ac:dyDescent="0.35"/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1F81-EDE5-4CCB-8D7A-C1A1E802B6D5}">
  <dimension ref="A1:B22"/>
  <sheetViews>
    <sheetView workbookViewId="0">
      <selection activeCell="M18" sqref="M18"/>
    </sheetView>
  </sheetViews>
  <sheetFormatPr defaultRowHeight="14.5" x14ac:dyDescent="0.35"/>
  <cols>
    <col min="1" max="1" width="13.54296875" bestFit="1" customWidth="1"/>
    <col min="2" max="2" width="14.36328125" bestFit="1" customWidth="1"/>
    <col min="3" max="3" width="23.36328125" bestFit="1" customWidth="1"/>
  </cols>
  <sheetData>
    <row r="1" spans="1:2" x14ac:dyDescent="0.35">
      <c r="A1" s="22" t="s">
        <v>72</v>
      </c>
      <c r="B1" t="s">
        <v>71</v>
      </c>
    </row>
    <row r="2" spans="1:2" x14ac:dyDescent="0.35">
      <c r="A2" s="23" t="s">
        <v>35</v>
      </c>
      <c r="B2">
        <v>1086352</v>
      </c>
    </row>
    <row r="3" spans="1:2" x14ac:dyDescent="0.35">
      <c r="A3" s="24" t="s">
        <v>56</v>
      </c>
      <c r="B3">
        <v>566781</v>
      </c>
    </row>
    <row r="4" spans="1:2" x14ac:dyDescent="0.35">
      <c r="A4" s="24" t="s">
        <v>58</v>
      </c>
      <c r="B4">
        <v>218758</v>
      </c>
    </row>
    <row r="5" spans="1:2" x14ac:dyDescent="0.35">
      <c r="A5" s="24" t="s">
        <v>57</v>
      </c>
      <c r="B5">
        <v>300813</v>
      </c>
    </row>
    <row r="6" spans="1:2" x14ac:dyDescent="0.35">
      <c r="A6" s="23" t="s">
        <v>23</v>
      </c>
      <c r="B6">
        <v>1345160</v>
      </c>
    </row>
    <row r="7" spans="1:2" x14ac:dyDescent="0.35">
      <c r="A7" s="24" t="s">
        <v>56</v>
      </c>
      <c r="B7">
        <v>320173</v>
      </c>
    </row>
    <row r="8" spans="1:2" x14ac:dyDescent="0.35">
      <c r="A8" s="24" t="s">
        <v>58</v>
      </c>
      <c r="B8">
        <v>461903</v>
      </c>
    </row>
    <row r="9" spans="1:2" x14ac:dyDescent="0.35">
      <c r="A9" s="24" t="s">
        <v>57</v>
      </c>
      <c r="B9">
        <v>563084</v>
      </c>
    </row>
    <row r="10" spans="1:2" x14ac:dyDescent="0.35">
      <c r="A10" s="23" t="s">
        <v>11</v>
      </c>
      <c r="B10">
        <v>1149809</v>
      </c>
    </row>
    <row r="11" spans="1:2" x14ac:dyDescent="0.35">
      <c r="A11" s="24" t="s">
        <v>56</v>
      </c>
      <c r="B11">
        <v>418352</v>
      </c>
    </row>
    <row r="12" spans="1:2" x14ac:dyDescent="0.35">
      <c r="A12" s="24" t="s">
        <v>58</v>
      </c>
      <c r="B12">
        <v>129402</v>
      </c>
    </row>
    <row r="13" spans="1:2" x14ac:dyDescent="0.35">
      <c r="A13" s="24" t="s">
        <v>57</v>
      </c>
      <c r="B13">
        <v>602055</v>
      </c>
    </row>
    <row r="14" spans="1:2" x14ac:dyDescent="0.35">
      <c r="A14" s="23" t="s">
        <v>18</v>
      </c>
      <c r="B14">
        <v>1569536</v>
      </c>
    </row>
    <row r="15" spans="1:2" x14ac:dyDescent="0.35">
      <c r="A15" s="24" t="s">
        <v>56</v>
      </c>
      <c r="B15">
        <v>576603</v>
      </c>
    </row>
    <row r="16" spans="1:2" x14ac:dyDescent="0.35">
      <c r="A16" s="24" t="s">
        <v>58</v>
      </c>
      <c r="B16">
        <v>467469</v>
      </c>
    </row>
    <row r="17" spans="1:2" x14ac:dyDescent="0.35">
      <c r="A17" s="24" t="s">
        <v>57</v>
      </c>
      <c r="B17">
        <v>525464</v>
      </c>
    </row>
    <row r="18" spans="1:2" x14ac:dyDescent="0.35">
      <c r="A18" s="23" t="s">
        <v>30</v>
      </c>
      <c r="B18">
        <v>710424</v>
      </c>
    </row>
    <row r="19" spans="1:2" x14ac:dyDescent="0.35">
      <c r="A19" s="24" t="s">
        <v>56</v>
      </c>
      <c r="B19">
        <v>355817</v>
      </c>
    </row>
    <row r="20" spans="1:2" x14ac:dyDescent="0.35">
      <c r="A20" s="24" t="s">
        <v>58</v>
      </c>
      <c r="B20">
        <v>141979</v>
      </c>
    </row>
    <row r="21" spans="1:2" x14ac:dyDescent="0.35">
      <c r="A21" s="24" t="s">
        <v>57</v>
      </c>
      <c r="B21">
        <v>212628</v>
      </c>
    </row>
    <row r="22" spans="1:2" x14ac:dyDescent="0.35">
      <c r="A22" s="23" t="s">
        <v>73</v>
      </c>
      <c r="B22">
        <v>5861281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573C-F17D-41EE-B6D6-AC804239985E}">
  <dimension ref="A1:B13"/>
  <sheetViews>
    <sheetView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8.7265625" bestFit="1" customWidth="1"/>
  </cols>
  <sheetData>
    <row r="1" spans="1:2" x14ac:dyDescent="0.35">
      <c r="A1" s="22" t="s">
        <v>50</v>
      </c>
      <c r="B1" t="s">
        <v>74</v>
      </c>
    </row>
    <row r="2" spans="1:2" x14ac:dyDescent="0.35">
      <c r="A2" s="22" t="s">
        <v>2</v>
      </c>
      <c r="B2" t="s">
        <v>74</v>
      </c>
    </row>
    <row r="4" spans="1:2" x14ac:dyDescent="0.35">
      <c r="A4" s="22" t="s">
        <v>72</v>
      </c>
      <c r="B4" t="s">
        <v>75</v>
      </c>
    </row>
    <row r="5" spans="1:2" x14ac:dyDescent="0.35">
      <c r="A5" s="23" t="s">
        <v>7</v>
      </c>
      <c r="B5" s="25">
        <v>36.6</v>
      </c>
    </row>
    <row r="6" spans="1:2" x14ac:dyDescent="0.35">
      <c r="A6" s="23" t="s">
        <v>14</v>
      </c>
      <c r="B6" s="25">
        <v>42.153846153846153</v>
      </c>
    </row>
    <row r="7" spans="1:2" x14ac:dyDescent="0.35">
      <c r="A7" s="23" t="s">
        <v>20</v>
      </c>
      <c r="B7" s="25">
        <v>43</v>
      </c>
    </row>
    <row r="8" spans="1:2" x14ac:dyDescent="0.35">
      <c r="A8" s="23" t="s">
        <v>26</v>
      </c>
      <c r="B8" s="25">
        <v>34.4</v>
      </c>
    </row>
    <row r="9" spans="1:2" x14ac:dyDescent="0.35">
      <c r="A9" s="23" t="s">
        <v>32</v>
      </c>
      <c r="B9" s="25">
        <v>46.266666666666666</v>
      </c>
    </row>
    <row r="10" spans="1:2" x14ac:dyDescent="0.35">
      <c r="A10" s="23" t="s">
        <v>37</v>
      </c>
      <c r="B10" s="25">
        <v>36.928571428571431</v>
      </c>
    </row>
    <row r="11" spans="1:2" x14ac:dyDescent="0.35">
      <c r="A11" s="23" t="s">
        <v>40</v>
      </c>
      <c r="B11" s="25">
        <v>40.5</v>
      </c>
    </row>
    <row r="12" spans="1:2" x14ac:dyDescent="0.35">
      <c r="A12" s="23" t="s">
        <v>44</v>
      </c>
      <c r="B12" s="25">
        <v>46.4</v>
      </c>
    </row>
    <row r="13" spans="1:2" x14ac:dyDescent="0.35">
      <c r="A13" s="23" t="s">
        <v>73</v>
      </c>
      <c r="B13" s="25">
        <v>40.64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6EF7-13B0-490B-9A3B-B3CB6761E816}">
  <dimension ref="A1:B18"/>
  <sheetViews>
    <sheetView workbookViewId="0">
      <selection activeCell="F9" sqref="F9"/>
    </sheetView>
  </sheetViews>
  <sheetFormatPr defaultRowHeight="14.5" x14ac:dyDescent="0.35"/>
  <cols>
    <col min="1" max="1" width="12.36328125" bestFit="1" customWidth="1"/>
    <col min="2" max="2" width="19.36328125" bestFit="1" customWidth="1"/>
  </cols>
  <sheetData>
    <row r="1" spans="1:2" x14ac:dyDescent="0.35">
      <c r="A1" s="22" t="s">
        <v>72</v>
      </c>
      <c r="B1" t="s">
        <v>88</v>
      </c>
    </row>
    <row r="2" spans="1:2" x14ac:dyDescent="0.35">
      <c r="A2" s="23" t="s">
        <v>89</v>
      </c>
      <c r="B2">
        <v>12517164</v>
      </c>
    </row>
    <row r="3" spans="1:2" x14ac:dyDescent="0.35">
      <c r="A3" s="24" t="s">
        <v>76</v>
      </c>
      <c r="B3">
        <v>3842076</v>
      </c>
    </row>
    <row r="4" spans="1:2" x14ac:dyDescent="0.35">
      <c r="A4" s="24" t="s">
        <v>77</v>
      </c>
      <c r="B4">
        <v>7293839</v>
      </c>
    </row>
    <row r="5" spans="1:2" x14ac:dyDescent="0.35">
      <c r="A5" s="24" t="s">
        <v>78</v>
      </c>
      <c r="B5">
        <v>1381249</v>
      </c>
    </row>
    <row r="6" spans="1:2" x14ac:dyDescent="0.35">
      <c r="A6" s="23" t="s">
        <v>90</v>
      </c>
      <c r="B6">
        <v>12507763</v>
      </c>
    </row>
    <row r="7" spans="1:2" x14ac:dyDescent="0.35">
      <c r="A7" s="24" t="s">
        <v>79</v>
      </c>
      <c r="B7">
        <v>2147913</v>
      </c>
    </row>
    <row r="8" spans="1:2" x14ac:dyDescent="0.35">
      <c r="A8" s="24" t="s">
        <v>80</v>
      </c>
      <c r="B8">
        <v>5823839</v>
      </c>
    </row>
    <row r="9" spans="1:2" x14ac:dyDescent="0.35">
      <c r="A9" s="24" t="s">
        <v>81</v>
      </c>
      <c r="B9">
        <v>4536011</v>
      </c>
    </row>
    <row r="10" spans="1:2" x14ac:dyDescent="0.35">
      <c r="A10" s="23" t="s">
        <v>91</v>
      </c>
      <c r="B10">
        <v>10658155</v>
      </c>
    </row>
    <row r="11" spans="1:2" x14ac:dyDescent="0.35">
      <c r="A11" s="24" t="s">
        <v>82</v>
      </c>
      <c r="B11">
        <v>5228400</v>
      </c>
    </row>
    <row r="12" spans="1:2" x14ac:dyDescent="0.35">
      <c r="A12" s="24" t="s">
        <v>83</v>
      </c>
      <c r="B12">
        <v>2241935</v>
      </c>
    </row>
    <row r="13" spans="1:2" x14ac:dyDescent="0.35">
      <c r="A13" s="24" t="s">
        <v>84</v>
      </c>
      <c r="B13">
        <v>3187820</v>
      </c>
    </row>
    <row r="14" spans="1:2" x14ac:dyDescent="0.35">
      <c r="A14" s="23" t="s">
        <v>92</v>
      </c>
      <c r="B14">
        <v>20757939</v>
      </c>
    </row>
    <row r="15" spans="1:2" x14ac:dyDescent="0.35">
      <c r="A15" s="24" t="s">
        <v>85</v>
      </c>
      <c r="B15">
        <v>6931665</v>
      </c>
    </row>
    <row r="16" spans="1:2" x14ac:dyDescent="0.35">
      <c r="A16" s="24" t="s">
        <v>86</v>
      </c>
      <c r="B16">
        <v>4857053</v>
      </c>
    </row>
    <row r="17" spans="1:2" x14ac:dyDescent="0.35">
      <c r="A17" s="24" t="s">
        <v>87</v>
      </c>
      <c r="B17">
        <v>8969221</v>
      </c>
    </row>
    <row r="18" spans="1:2" x14ac:dyDescent="0.35">
      <c r="A18" s="23" t="s">
        <v>73</v>
      </c>
      <c r="B18">
        <v>56441021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00DE-2F5F-490B-A1A6-A662CEA1A30F}">
  <dimension ref="A1:B12"/>
  <sheetViews>
    <sheetView workbookViewId="0">
      <selection activeCell="B1" sqref="B1"/>
    </sheetView>
  </sheetViews>
  <sheetFormatPr defaultRowHeight="14.5" x14ac:dyDescent="0.35"/>
  <cols>
    <col min="1" max="1" width="13.54296875" bestFit="1" customWidth="1"/>
    <col min="2" max="2" width="19.1796875" bestFit="1" customWidth="1"/>
    <col min="3" max="9" width="7.6328125" bestFit="1" customWidth="1"/>
    <col min="10" max="10" width="10.7265625" bestFit="1" customWidth="1"/>
  </cols>
  <sheetData>
    <row r="1" spans="1:2" x14ac:dyDescent="0.35">
      <c r="A1" s="22" t="s">
        <v>72</v>
      </c>
      <c r="B1" t="s">
        <v>99</v>
      </c>
    </row>
    <row r="2" spans="1:2" x14ac:dyDescent="0.35">
      <c r="A2" s="23" t="s">
        <v>100</v>
      </c>
      <c r="B2">
        <v>7</v>
      </c>
    </row>
    <row r="3" spans="1:2" x14ac:dyDescent="0.35">
      <c r="A3" s="23" t="s">
        <v>101</v>
      </c>
      <c r="B3">
        <v>11</v>
      </c>
    </row>
    <row r="4" spans="1:2" x14ac:dyDescent="0.35">
      <c r="A4" s="23" t="s">
        <v>102</v>
      </c>
      <c r="B4">
        <v>18</v>
      </c>
    </row>
    <row r="5" spans="1:2" x14ac:dyDescent="0.35">
      <c r="A5" s="23" t="s">
        <v>103</v>
      </c>
      <c r="B5">
        <v>19</v>
      </c>
    </row>
    <row r="6" spans="1:2" x14ac:dyDescent="0.35">
      <c r="A6" s="23" t="s">
        <v>104</v>
      </c>
      <c r="B6">
        <v>18</v>
      </c>
    </row>
    <row r="7" spans="1:2" x14ac:dyDescent="0.35">
      <c r="A7" s="23" t="s">
        <v>105</v>
      </c>
      <c r="B7">
        <v>12</v>
      </c>
    </row>
    <row r="8" spans="1:2" x14ac:dyDescent="0.35">
      <c r="A8" s="23" t="s">
        <v>106</v>
      </c>
      <c r="B8">
        <v>3</v>
      </c>
    </row>
    <row r="9" spans="1:2" x14ac:dyDescent="0.35">
      <c r="A9" s="23" t="s">
        <v>107</v>
      </c>
      <c r="B9">
        <v>10</v>
      </c>
    </row>
    <row r="10" spans="1:2" x14ac:dyDescent="0.35">
      <c r="A10" s="23" t="s">
        <v>108</v>
      </c>
      <c r="B10">
        <v>1</v>
      </c>
    </row>
    <row r="11" spans="1:2" x14ac:dyDescent="0.35">
      <c r="A11" s="23" t="s">
        <v>109</v>
      </c>
      <c r="B11">
        <v>1</v>
      </c>
    </row>
    <row r="12" spans="1:2" x14ac:dyDescent="0.35">
      <c r="A12" s="23" t="s">
        <v>73</v>
      </c>
      <c r="B12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3665-1BF9-4F49-A719-4B6B1BC99B84}">
  <dimension ref="A1:B10"/>
  <sheetViews>
    <sheetView workbookViewId="0">
      <selection activeCell="C13" sqref="C13"/>
    </sheetView>
  </sheetViews>
  <sheetFormatPr defaultRowHeight="14.5" x14ac:dyDescent="0.35"/>
  <cols>
    <col min="1" max="1" width="12.36328125" bestFit="1" customWidth="1"/>
    <col min="2" max="2" width="17.08984375" bestFit="1" customWidth="1"/>
  </cols>
  <sheetData>
    <row r="1" spans="1:2" x14ac:dyDescent="0.35">
      <c r="A1" s="22" t="s">
        <v>72</v>
      </c>
      <c r="B1" t="s">
        <v>94</v>
      </c>
    </row>
    <row r="2" spans="1:2" x14ac:dyDescent="0.35">
      <c r="A2" s="23" t="s">
        <v>32</v>
      </c>
      <c r="B2">
        <v>15</v>
      </c>
    </row>
    <row r="3" spans="1:2" x14ac:dyDescent="0.35">
      <c r="A3" s="23" t="s">
        <v>26</v>
      </c>
      <c r="B3">
        <v>15</v>
      </c>
    </row>
    <row r="4" spans="1:2" x14ac:dyDescent="0.35">
      <c r="A4" s="23" t="s">
        <v>37</v>
      </c>
      <c r="B4">
        <v>14</v>
      </c>
    </row>
    <row r="5" spans="1:2" x14ac:dyDescent="0.35">
      <c r="A5" s="23" t="s">
        <v>14</v>
      </c>
      <c r="B5">
        <v>13</v>
      </c>
    </row>
    <row r="6" spans="1:2" x14ac:dyDescent="0.35">
      <c r="A6" s="23" t="s">
        <v>40</v>
      </c>
      <c r="B6">
        <v>12</v>
      </c>
    </row>
    <row r="7" spans="1:2" x14ac:dyDescent="0.35">
      <c r="A7" s="23" t="s">
        <v>20</v>
      </c>
      <c r="B7">
        <v>11</v>
      </c>
    </row>
    <row r="8" spans="1:2" x14ac:dyDescent="0.35">
      <c r="A8" s="23" t="s">
        <v>44</v>
      </c>
      <c r="B8">
        <v>10</v>
      </c>
    </row>
    <row r="9" spans="1:2" x14ac:dyDescent="0.35">
      <c r="A9" s="23" t="s">
        <v>7</v>
      </c>
      <c r="B9">
        <v>10</v>
      </c>
    </row>
    <row r="10" spans="1:2" x14ac:dyDescent="0.35">
      <c r="A10" s="23" t="s">
        <v>73</v>
      </c>
      <c r="B10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FAED-FD24-4968-8D92-F79A2707225E}">
  <dimension ref="A1:K38"/>
  <sheetViews>
    <sheetView workbookViewId="0">
      <selection activeCell="F5" sqref="F5"/>
    </sheetView>
  </sheetViews>
  <sheetFormatPr defaultRowHeight="14.5" x14ac:dyDescent="0.35"/>
  <cols>
    <col min="1" max="1" width="15.26953125" bestFit="1" customWidth="1"/>
    <col min="2" max="2" width="10.90625" bestFit="1" customWidth="1"/>
    <col min="3" max="3" width="13.54296875" bestFit="1" customWidth="1"/>
    <col min="4" max="4" width="8.81640625" bestFit="1" customWidth="1"/>
    <col min="5" max="5" width="17.7265625" bestFit="1" customWidth="1"/>
    <col min="6" max="6" width="11.453125" bestFit="1" customWidth="1"/>
    <col min="7" max="7" width="10.26953125" bestFit="1" customWidth="1"/>
    <col min="8" max="9" width="8.81640625" bestFit="1" customWidth="1"/>
    <col min="10" max="10" width="13.36328125" bestFit="1" customWidth="1"/>
    <col min="11" max="11" width="16.81640625" bestFit="1" customWidth="1"/>
  </cols>
  <sheetData>
    <row r="1" spans="1:11" x14ac:dyDescent="0.35">
      <c r="A1" s="29" t="s">
        <v>95</v>
      </c>
    </row>
    <row r="3" spans="1:11" x14ac:dyDescent="0.35">
      <c r="A3" t="s">
        <v>48</v>
      </c>
      <c r="B3" t="s">
        <v>49</v>
      </c>
      <c r="C3" t="s">
        <v>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4</v>
      </c>
      <c r="J3" t="s">
        <v>2</v>
      </c>
      <c r="K3" t="s">
        <v>93</v>
      </c>
    </row>
    <row r="4" spans="1:11" x14ac:dyDescent="0.35">
      <c r="A4">
        <v>719040</v>
      </c>
      <c r="B4" s="28">
        <v>45120</v>
      </c>
      <c r="C4" t="s">
        <v>26</v>
      </c>
      <c r="D4" t="s">
        <v>68</v>
      </c>
      <c r="E4" t="s">
        <v>58</v>
      </c>
      <c r="F4">
        <v>43</v>
      </c>
      <c r="G4">
        <v>61963</v>
      </c>
      <c r="H4">
        <v>65817</v>
      </c>
      <c r="I4" t="s">
        <v>30</v>
      </c>
      <c r="J4" t="s">
        <v>28</v>
      </c>
    </row>
    <row r="5" spans="1:11" x14ac:dyDescent="0.35">
      <c r="A5">
        <v>297033</v>
      </c>
      <c r="B5" s="28">
        <v>45054</v>
      </c>
      <c r="C5" t="s">
        <v>26</v>
      </c>
      <c r="D5" t="s">
        <v>68</v>
      </c>
      <c r="E5" t="s">
        <v>56</v>
      </c>
      <c r="F5">
        <v>36</v>
      </c>
      <c r="G5">
        <v>37620</v>
      </c>
      <c r="H5">
        <v>31008</v>
      </c>
      <c r="I5" t="s">
        <v>30</v>
      </c>
      <c r="J5" t="s">
        <v>28</v>
      </c>
    </row>
    <row r="6" spans="1:11" x14ac:dyDescent="0.35">
      <c r="A6">
        <v>509306</v>
      </c>
      <c r="B6" s="28">
        <v>45215</v>
      </c>
      <c r="C6" t="s">
        <v>26</v>
      </c>
      <c r="D6" t="s">
        <v>66</v>
      </c>
      <c r="E6" t="s">
        <v>56</v>
      </c>
      <c r="F6">
        <v>37</v>
      </c>
      <c r="G6">
        <v>43031</v>
      </c>
      <c r="H6">
        <v>35131</v>
      </c>
      <c r="I6" t="s">
        <v>30</v>
      </c>
      <c r="J6" t="s">
        <v>28</v>
      </c>
    </row>
    <row r="7" spans="1:11" x14ac:dyDescent="0.35">
      <c r="A7">
        <v>614942</v>
      </c>
      <c r="B7" s="28">
        <v>45217</v>
      </c>
      <c r="C7" t="s">
        <v>26</v>
      </c>
      <c r="D7" t="s">
        <v>65</v>
      </c>
      <c r="E7" t="s">
        <v>57</v>
      </c>
      <c r="F7">
        <v>43</v>
      </c>
      <c r="G7">
        <v>55513</v>
      </c>
      <c r="H7">
        <v>57929</v>
      </c>
      <c r="I7" t="s">
        <v>30</v>
      </c>
      <c r="J7" t="s">
        <v>28</v>
      </c>
    </row>
    <row r="8" spans="1:11" x14ac:dyDescent="0.35">
      <c r="A8">
        <v>705811</v>
      </c>
      <c r="B8" s="28">
        <v>45285</v>
      </c>
      <c r="C8" t="s">
        <v>26</v>
      </c>
      <c r="D8" t="s">
        <v>64</v>
      </c>
      <c r="E8" t="s">
        <v>56</v>
      </c>
      <c r="F8">
        <v>52</v>
      </c>
      <c r="G8">
        <v>66092</v>
      </c>
      <c r="H8">
        <v>68922</v>
      </c>
      <c r="I8" t="s">
        <v>30</v>
      </c>
      <c r="J8" t="s">
        <v>28</v>
      </c>
    </row>
    <row r="9" spans="1:11" x14ac:dyDescent="0.35">
      <c r="A9">
        <v>853549</v>
      </c>
      <c r="B9" s="28">
        <v>45179</v>
      </c>
      <c r="C9" t="s">
        <v>26</v>
      </c>
      <c r="D9" t="s">
        <v>64</v>
      </c>
      <c r="E9" t="s">
        <v>57</v>
      </c>
      <c r="F9">
        <v>36</v>
      </c>
      <c r="G9">
        <v>50580</v>
      </c>
      <c r="H9">
        <v>53436</v>
      </c>
      <c r="I9" t="s">
        <v>30</v>
      </c>
      <c r="J9" t="s">
        <v>28</v>
      </c>
    </row>
    <row r="10" spans="1:11" x14ac:dyDescent="0.35">
      <c r="A10">
        <v>141868</v>
      </c>
      <c r="B10" s="28">
        <v>45124</v>
      </c>
      <c r="C10" t="s">
        <v>26</v>
      </c>
      <c r="D10" t="s">
        <v>63</v>
      </c>
      <c r="E10" t="s">
        <v>56</v>
      </c>
      <c r="F10">
        <v>32</v>
      </c>
      <c r="G10">
        <v>38208</v>
      </c>
      <c r="H10">
        <v>34422</v>
      </c>
      <c r="I10" t="s">
        <v>30</v>
      </c>
      <c r="J10" t="s">
        <v>28</v>
      </c>
    </row>
    <row r="11" spans="1:11" x14ac:dyDescent="0.35">
      <c r="A11">
        <v>428406</v>
      </c>
      <c r="B11" s="28">
        <v>45123</v>
      </c>
      <c r="C11" t="s">
        <v>26</v>
      </c>
      <c r="D11" t="s">
        <v>62</v>
      </c>
      <c r="E11" t="s">
        <v>57</v>
      </c>
      <c r="F11">
        <v>37</v>
      </c>
      <c r="G11">
        <v>62345</v>
      </c>
      <c r="H11">
        <v>59392</v>
      </c>
      <c r="I11" t="s">
        <v>30</v>
      </c>
      <c r="J11" t="s">
        <v>28</v>
      </c>
    </row>
    <row r="12" spans="1:11" x14ac:dyDescent="0.35">
      <c r="A12">
        <v>804827</v>
      </c>
      <c r="B12" s="28">
        <v>45192</v>
      </c>
      <c r="C12" t="s">
        <v>26</v>
      </c>
      <c r="D12" t="s">
        <v>62</v>
      </c>
      <c r="E12" t="s">
        <v>56</v>
      </c>
      <c r="F12">
        <v>24</v>
      </c>
      <c r="G12">
        <v>46248</v>
      </c>
      <c r="H12">
        <v>50734</v>
      </c>
      <c r="I12" t="s">
        <v>30</v>
      </c>
      <c r="J12" t="s">
        <v>28</v>
      </c>
    </row>
    <row r="13" spans="1:11" x14ac:dyDescent="0.35">
      <c r="A13">
        <v>624149</v>
      </c>
      <c r="B13" s="28">
        <v>45285</v>
      </c>
      <c r="C13" t="s">
        <v>26</v>
      </c>
      <c r="D13" t="s">
        <v>62</v>
      </c>
      <c r="E13" t="s">
        <v>56</v>
      </c>
      <c r="F13">
        <v>20</v>
      </c>
      <c r="G13">
        <v>21440</v>
      </c>
      <c r="H13">
        <v>14843</v>
      </c>
      <c r="I13" t="s">
        <v>30</v>
      </c>
      <c r="J13" t="s">
        <v>28</v>
      </c>
    </row>
    <row r="14" spans="1:11" x14ac:dyDescent="0.35">
      <c r="A14">
        <v>624861</v>
      </c>
      <c r="B14" s="28">
        <v>45132</v>
      </c>
      <c r="C14" t="s">
        <v>26</v>
      </c>
      <c r="D14" t="s">
        <v>59</v>
      </c>
      <c r="E14" t="s">
        <v>58</v>
      </c>
      <c r="F14">
        <v>24</v>
      </c>
      <c r="G14">
        <v>25104</v>
      </c>
      <c r="H14">
        <v>19270</v>
      </c>
      <c r="I14" t="s">
        <v>30</v>
      </c>
      <c r="J14" t="s">
        <v>28</v>
      </c>
    </row>
    <row r="15" spans="1:11" x14ac:dyDescent="0.35">
      <c r="A15">
        <v>236087</v>
      </c>
      <c r="B15" s="28">
        <v>45216</v>
      </c>
      <c r="C15" t="s">
        <v>26</v>
      </c>
      <c r="D15" t="s">
        <v>62</v>
      </c>
      <c r="E15" t="s">
        <v>58</v>
      </c>
      <c r="F15">
        <v>39</v>
      </c>
      <c r="G15">
        <v>54912</v>
      </c>
      <c r="H15">
        <v>48908</v>
      </c>
      <c r="I15" t="s">
        <v>30</v>
      </c>
      <c r="J15" t="s">
        <v>28</v>
      </c>
    </row>
    <row r="16" spans="1:11" x14ac:dyDescent="0.35">
      <c r="A16">
        <v>756995</v>
      </c>
      <c r="B16" s="28">
        <v>45068</v>
      </c>
      <c r="C16" t="s">
        <v>26</v>
      </c>
      <c r="D16" t="s">
        <v>61</v>
      </c>
      <c r="E16" t="s">
        <v>56</v>
      </c>
      <c r="F16">
        <v>23</v>
      </c>
      <c r="G16">
        <v>28658</v>
      </c>
      <c r="H16">
        <v>19273</v>
      </c>
      <c r="I16" t="s">
        <v>30</v>
      </c>
      <c r="J16" t="s">
        <v>28</v>
      </c>
    </row>
    <row r="17" spans="1:11" x14ac:dyDescent="0.35">
      <c r="A17">
        <v>457546</v>
      </c>
      <c r="B17" s="28">
        <v>45258</v>
      </c>
      <c r="C17" t="s">
        <v>26</v>
      </c>
      <c r="D17" t="s">
        <v>59</v>
      </c>
      <c r="E17" t="s">
        <v>56</v>
      </c>
      <c r="F17">
        <v>40</v>
      </c>
      <c r="G17">
        <v>74520</v>
      </c>
      <c r="H17">
        <v>66932</v>
      </c>
      <c r="I17" t="s">
        <v>30</v>
      </c>
      <c r="J17" t="s">
        <v>28</v>
      </c>
    </row>
    <row r="18" spans="1:11" x14ac:dyDescent="0.35">
      <c r="A18">
        <v>914427</v>
      </c>
      <c r="B18" s="28">
        <v>45105</v>
      </c>
      <c r="C18" t="s">
        <v>26</v>
      </c>
      <c r="D18" t="s">
        <v>59</v>
      </c>
      <c r="E18" t="s">
        <v>57</v>
      </c>
      <c r="F18">
        <v>30</v>
      </c>
      <c r="G18">
        <v>44190</v>
      </c>
      <c r="H18">
        <v>42974</v>
      </c>
      <c r="I18" t="s">
        <v>30</v>
      </c>
      <c r="J18" t="s">
        <v>28</v>
      </c>
    </row>
    <row r="21" spans="1:11" x14ac:dyDescent="0.35">
      <c r="A21" s="29" t="s">
        <v>96</v>
      </c>
    </row>
    <row r="23" spans="1:11" x14ac:dyDescent="0.35">
      <c r="A23" t="s">
        <v>48</v>
      </c>
      <c r="B23" t="s">
        <v>49</v>
      </c>
      <c r="C23" t="s">
        <v>0</v>
      </c>
      <c r="D23" t="s">
        <v>50</v>
      </c>
      <c r="E23" t="s">
        <v>51</v>
      </c>
      <c r="F23" t="s">
        <v>52</v>
      </c>
      <c r="G23" t="s">
        <v>53</v>
      </c>
      <c r="H23" t="s">
        <v>54</v>
      </c>
      <c r="I23" t="s">
        <v>4</v>
      </c>
      <c r="J23" t="s">
        <v>2</v>
      </c>
      <c r="K23" t="s">
        <v>93</v>
      </c>
    </row>
    <row r="24" spans="1:11" x14ac:dyDescent="0.35">
      <c r="A24">
        <v>913305</v>
      </c>
      <c r="B24" s="28">
        <v>45194</v>
      </c>
      <c r="C24" t="s">
        <v>32</v>
      </c>
      <c r="D24" t="s">
        <v>69</v>
      </c>
      <c r="E24" t="s">
        <v>56</v>
      </c>
      <c r="F24">
        <v>34</v>
      </c>
      <c r="G24">
        <v>62050</v>
      </c>
      <c r="H24">
        <v>63788</v>
      </c>
      <c r="I24" t="s">
        <v>35</v>
      </c>
      <c r="J24" t="s">
        <v>9</v>
      </c>
    </row>
    <row r="25" spans="1:11" x14ac:dyDescent="0.35">
      <c r="A25">
        <v>972881</v>
      </c>
      <c r="B25" s="28">
        <v>45100</v>
      </c>
      <c r="C25" t="s">
        <v>32</v>
      </c>
      <c r="D25" t="s">
        <v>68</v>
      </c>
      <c r="E25" t="s">
        <v>58</v>
      </c>
      <c r="F25">
        <v>46</v>
      </c>
      <c r="G25">
        <v>61364</v>
      </c>
      <c r="H25">
        <v>59772</v>
      </c>
      <c r="I25" t="s">
        <v>35</v>
      </c>
      <c r="J25" t="s">
        <v>9</v>
      </c>
    </row>
    <row r="26" spans="1:11" x14ac:dyDescent="0.35">
      <c r="A26">
        <v>296032</v>
      </c>
      <c r="B26" s="28">
        <v>45240</v>
      </c>
      <c r="C26" t="s">
        <v>32</v>
      </c>
      <c r="D26" t="s">
        <v>67</v>
      </c>
      <c r="E26" t="s">
        <v>58</v>
      </c>
      <c r="F26">
        <v>22</v>
      </c>
      <c r="G26">
        <v>24442</v>
      </c>
      <c r="H26">
        <v>19668</v>
      </c>
      <c r="I26" t="s">
        <v>35</v>
      </c>
      <c r="J26" t="s">
        <v>9</v>
      </c>
    </row>
    <row r="27" spans="1:11" x14ac:dyDescent="0.35">
      <c r="A27">
        <v>889905</v>
      </c>
      <c r="B27" s="28">
        <v>45282</v>
      </c>
      <c r="C27" t="s">
        <v>32</v>
      </c>
      <c r="D27" t="s">
        <v>67</v>
      </c>
      <c r="E27" t="s">
        <v>57</v>
      </c>
      <c r="F27">
        <v>42</v>
      </c>
      <c r="G27">
        <v>69552</v>
      </c>
      <c r="H27">
        <v>66206</v>
      </c>
      <c r="I27" t="s">
        <v>35</v>
      </c>
      <c r="J27" t="s">
        <v>9</v>
      </c>
    </row>
    <row r="28" spans="1:11" x14ac:dyDescent="0.35">
      <c r="A28">
        <v>136884</v>
      </c>
      <c r="B28" s="28">
        <v>44992</v>
      </c>
      <c r="C28" t="s">
        <v>32</v>
      </c>
      <c r="D28" t="s">
        <v>65</v>
      </c>
      <c r="E28" t="s">
        <v>57</v>
      </c>
      <c r="F28">
        <v>30</v>
      </c>
      <c r="G28">
        <v>52770</v>
      </c>
      <c r="H28">
        <v>50531</v>
      </c>
      <c r="I28" t="s">
        <v>35</v>
      </c>
      <c r="J28" t="s">
        <v>9</v>
      </c>
    </row>
    <row r="29" spans="1:11" x14ac:dyDescent="0.35">
      <c r="A29">
        <v>171074</v>
      </c>
      <c r="B29" s="28">
        <v>45208</v>
      </c>
      <c r="C29" t="s">
        <v>32</v>
      </c>
      <c r="D29" t="s">
        <v>65</v>
      </c>
      <c r="E29" t="s">
        <v>56</v>
      </c>
      <c r="F29">
        <v>52</v>
      </c>
      <c r="G29">
        <v>78000</v>
      </c>
      <c r="H29">
        <v>78886</v>
      </c>
      <c r="I29" t="s">
        <v>35</v>
      </c>
      <c r="J29" t="s">
        <v>9</v>
      </c>
    </row>
    <row r="30" spans="1:11" x14ac:dyDescent="0.35">
      <c r="A30">
        <v>375513</v>
      </c>
      <c r="B30" s="28">
        <v>45109</v>
      </c>
      <c r="C30" t="s">
        <v>32</v>
      </c>
      <c r="D30" t="s">
        <v>65</v>
      </c>
      <c r="E30" t="s">
        <v>56</v>
      </c>
      <c r="F30">
        <v>58</v>
      </c>
      <c r="G30">
        <v>70470</v>
      </c>
      <c r="H30">
        <v>63713</v>
      </c>
      <c r="I30" t="s">
        <v>35</v>
      </c>
      <c r="J30" t="s">
        <v>9</v>
      </c>
    </row>
    <row r="31" spans="1:11" x14ac:dyDescent="0.35">
      <c r="A31">
        <v>773919</v>
      </c>
      <c r="B31" s="28">
        <v>45135</v>
      </c>
      <c r="C31" t="s">
        <v>32</v>
      </c>
      <c r="D31" t="s">
        <v>65</v>
      </c>
      <c r="E31" t="s">
        <v>58</v>
      </c>
      <c r="F31">
        <v>26</v>
      </c>
      <c r="G31">
        <v>50986</v>
      </c>
      <c r="H31">
        <v>41599</v>
      </c>
      <c r="I31" t="s">
        <v>35</v>
      </c>
      <c r="J31" t="s">
        <v>9</v>
      </c>
    </row>
    <row r="32" spans="1:11" x14ac:dyDescent="0.35">
      <c r="A32">
        <v>411338</v>
      </c>
      <c r="B32" s="28">
        <v>45066</v>
      </c>
      <c r="C32" t="s">
        <v>32</v>
      </c>
      <c r="D32" t="s">
        <v>65</v>
      </c>
      <c r="E32" t="s">
        <v>56</v>
      </c>
      <c r="F32">
        <v>59</v>
      </c>
      <c r="G32">
        <v>107734</v>
      </c>
      <c r="H32">
        <v>102020</v>
      </c>
      <c r="I32" t="s">
        <v>35</v>
      </c>
      <c r="J32" t="s">
        <v>9</v>
      </c>
    </row>
    <row r="33" spans="1:10" x14ac:dyDescent="0.35">
      <c r="A33">
        <v>655665</v>
      </c>
      <c r="B33" s="28">
        <v>45050</v>
      </c>
      <c r="C33" t="s">
        <v>32</v>
      </c>
      <c r="D33" t="s">
        <v>59</v>
      </c>
      <c r="E33" t="s">
        <v>57</v>
      </c>
      <c r="F33">
        <v>60</v>
      </c>
      <c r="G33">
        <v>97980</v>
      </c>
      <c r="H33">
        <v>88473</v>
      </c>
      <c r="I33" t="s">
        <v>35</v>
      </c>
      <c r="J33" t="s">
        <v>9</v>
      </c>
    </row>
    <row r="34" spans="1:10" x14ac:dyDescent="0.35">
      <c r="A34">
        <v>622476</v>
      </c>
      <c r="B34" s="28">
        <v>45252</v>
      </c>
      <c r="C34" t="s">
        <v>32</v>
      </c>
      <c r="D34" t="s">
        <v>64</v>
      </c>
      <c r="E34" t="s">
        <v>56</v>
      </c>
      <c r="F34">
        <v>49</v>
      </c>
      <c r="G34">
        <v>64827</v>
      </c>
      <c r="H34">
        <v>57509</v>
      </c>
      <c r="I34" t="s">
        <v>35</v>
      </c>
      <c r="J34" t="s">
        <v>9</v>
      </c>
    </row>
    <row r="35" spans="1:10" x14ac:dyDescent="0.35">
      <c r="A35">
        <v>715404</v>
      </c>
      <c r="B35" s="28">
        <v>45289</v>
      </c>
      <c r="C35" t="s">
        <v>32</v>
      </c>
      <c r="D35" t="s">
        <v>64</v>
      </c>
      <c r="E35" t="s">
        <v>57</v>
      </c>
      <c r="F35">
        <v>47</v>
      </c>
      <c r="G35">
        <v>80511</v>
      </c>
      <c r="H35">
        <v>73543</v>
      </c>
      <c r="I35" t="s">
        <v>35</v>
      </c>
      <c r="J35" t="s">
        <v>9</v>
      </c>
    </row>
    <row r="36" spans="1:10" x14ac:dyDescent="0.35">
      <c r="A36">
        <v>627211</v>
      </c>
      <c r="B36" s="28">
        <v>44971</v>
      </c>
      <c r="C36" t="s">
        <v>32</v>
      </c>
      <c r="D36" t="s">
        <v>61</v>
      </c>
      <c r="E36" t="s">
        <v>56</v>
      </c>
      <c r="F36">
        <v>60</v>
      </c>
      <c r="G36">
        <v>91140</v>
      </c>
      <c r="H36">
        <v>86163</v>
      </c>
      <c r="I36" t="s">
        <v>35</v>
      </c>
      <c r="J36" t="s">
        <v>9</v>
      </c>
    </row>
    <row r="37" spans="1:10" x14ac:dyDescent="0.35">
      <c r="A37">
        <v>717424</v>
      </c>
      <c r="B37" s="28">
        <v>45206</v>
      </c>
      <c r="C37" t="s">
        <v>32</v>
      </c>
      <c r="D37" t="s">
        <v>61</v>
      </c>
      <c r="E37" t="s">
        <v>56</v>
      </c>
      <c r="F37">
        <v>52</v>
      </c>
      <c r="G37">
        <v>92560</v>
      </c>
      <c r="H37">
        <v>94633</v>
      </c>
      <c r="I37" t="s">
        <v>35</v>
      </c>
      <c r="J37" t="s">
        <v>9</v>
      </c>
    </row>
    <row r="38" spans="1:10" x14ac:dyDescent="0.35">
      <c r="A38">
        <v>664779</v>
      </c>
      <c r="B38" s="28">
        <v>45239</v>
      </c>
      <c r="C38" t="s">
        <v>32</v>
      </c>
      <c r="D38" t="s">
        <v>60</v>
      </c>
      <c r="E38" t="s">
        <v>58</v>
      </c>
      <c r="F38">
        <v>57</v>
      </c>
      <c r="G38">
        <v>81966</v>
      </c>
      <c r="H38">
        <v>72257</v>
      </c>
      <c r="I38" t="s">
        <v>35</v>
      </c>
      <c r="J38" t="s">
        <v>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D89D-244D-4D98-9949-7C70FC34CC96}">
  <dimension ref="A1:D10"/>
  <sheetViews>
    <sheetView workbookViewId="0">
      <selection activeCell="F5" sqref="F5:F6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12.453125" bestFit="1" customWidth="1"/>
    <col min="4" max="4" width="8.81640625" bestFit="1" customWidth="1"/>
    <col min="5" max="99" width="5.81640625" bestFit="1" customWidth="1"/>
    <col min="100" max="101" width="6.81640625" bestFit="1" customWidth="1"/>
    <col min="102" max="102" width="10.7265625" bestFit="1" customWidth="1"/>
  </cols>
  <sheetData>
    <row r="1" spans="1:4" x14ac:dyDescent="0.35">
      <c r="A1" s="22" t="s">
        <v>72</v>
      </c>
      <c r="B1" t="s">
        <v>71</v>
      </c>
      <c r="C1" t="s">
        <v>111</v>
      </c>
      <c r="D1" s="31" t="s">
        <v>112</v>
      </c>
    </row>
    <row r="2" spans="1:4" x14ac:dyDescent="0.35">
      <c r="A2" s="23" t="s">
        <v>7</v>
      </c>
      <c r="B2">
        <v>497694</v>
      </c>
      <c r="C2">
        <v>472678</v>
      </c>
      <c r="D2">
        <f>IF(B2&gt;C2,B2*5/100,"BONUS NA")</f>
        <v>24884.7</v>
      </c>
    </row>
    <row r="3" spans="1:4" x14ac:dyDescent="0.35">
      <c r="A3" s="23" t="s">
        <v>14</v>
      </c>
      <c r="B3">
        <v>845449</v>
      </c>
      <c r="C3">
        <v>823476</v>
      </c>
      <c r="D3">
        <f t="shared" ref="D3:D9" si="0">IF(B3&gt;C3,B3*5/100,"BONUS NA")</f>
        <v>42272.45</v>
      </c>
    </row>
    <row r="4" spans="1:4" x14ac:dyDescent="0.35">
      <c r="A4" s="23" t="s">
        <v>20</v>
      </c>
      <c r="B4">
        <v>698662</v>
      </c>
      <c r="C4">
        <v>672663</v>
      </c>
      <c r="D4">
        <f t="shared" si="0"/>
        <v>34933.1</v>
      </c>
    </row>
    <row r="5" spans="1:4" x14ac:dyDescent="0.35">
      <c r="A5" s="23" t="s">
        <v>26</v>
      </c>
      <c r="B5">
        <v>710424</v>
      </c>
      <c r="C5">
        <v>668991</v>
      </c>
      <c r="D5">
        <f t="shared" si="0"/>
        <v>35521.199999999997</v>
      </c>
    </row>
    <row r="6" spans="1:4" x14ac:dyDescent="0.35">
      <c r="A6" s="23" t="s">
        <v>32</v>
      </c>
      <c r="B6">
        <v>1086352</v>
      </c>
      <c r="C6">
        <v>1018761</v>
      </c>
      <c r="D6">
        <f t="shared" si="0"/>
        <v>54317.599999999999</v>
      </c>
    </row>
    <row r="7" spans="1:4" x14ac:dyDescent="0.35">
      <c r="A7" s="23" t="s">
        <v>37</v>
      </c>
      <c r="B7">
        <v>724087</v>
      </c>
      <c r="C7">
        <v>663483</v>
      </c>
      <c r="D7">
        <f t="shared" si="0"/>
        <v>36204.35</v>
      </c>
    </row>
    <row r="8" spans="1:4" x14ac:dyDescent="0.35">
      <c r="A8" s="23" t="s">
        <v>40</v>
      </c>
      <c r="B8">
        <v>652115</v>
      </c>
      <c r="C8">
        <v>656335</v>
      </c>
      <c r="D8" t="str">
        <f t="shared" si="0"/>
        <v>BONUS NA</v>
      </c>
    </row>
    <row r="9" spans="1:4" x14ac:dyDescent="0.35">
      <c r="A9" s="23" t="s">
        <v>44</v>
      </c>
      <c r="B9">
        <v>646498</v>
      </c>
      <c r="C9">
        <v>648828</v>
      </c>
      <c r="D9" t="str">
        <f t="shared" si="0"/>
        <v>BONUS NA</v>
      </c>
    </row>
    <row r="10" spans="1:4" x14ac:dyDescent="0.35">
      <c r="A10" s="23" t="s">
        <v>73</v>
      </c>
      <c r="B10">
        <v>5861281</v>
      </c>
      <c r="C10">
        <v>5625215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DE84D-AF17-4210-AE9F-4CFEE30DAC55}">
  <dimension ref="A1:C7"/>
  <sheetViews>
    <sheetView workbookViewId="0">
      <selection activeCell="E12" sqref="E12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11.453125" bestFit="1" customWidth="1"/>
  </cols>
  <sheetData>
    <row r="1" spans="1:3" x14ac:dyDescent="0.35">
      <c r="A1" s="22" t="s">
        <v>72</v>
      </c>
      <c r="B1" t="s">
        <v>71</v>
      </c>
      <c r="C1" s="32" t="s">
        <v>113</v>
      </c>
    </row>
    <row r="2" spans="1:3" x14ac:dyDescent="0.35">
      <c r="A2" s="23" t="s">
        <v>35</v>
      </c>
      <c r="B2">
        <v>1086352</v>
      </c>
      <c r="C2" s="33">
        <f>_xlfn.XLOOKUP(A2,RegionBenchmarks!$A$1:$A$6,RegionBenchmarks!$B$1:$B$6)</f>
        <v>45000</v>
      </c>
    </row>
    <row r="3" spans="1:3" x14ac:dyDescent="0.35">
      <c r="A3" s="23" t="s">
        <v>23</v>
      </c>
      <c r="B3">
        <v>1345160</v>
      </c>
      <c r="C3" s="33">
        <f>_xlfn.XLOOKUP(A3,RegionBenchmarks!$A$1:$A$6,RegionBenchmarks!$B$1:$B$6)</f>
        <v>50000</v>
      </c>
    </row>
    <row r="4" spans="1:3" x14ac:dyDescent="0.35">
      <c r="A4" s="23" t="s">
        <v>11</v>
      </c>
      <c r="B4">
        <v>1149809</v>
      </c>
      <c r="C4" s="33">
        <f>_xlfn.XLOOKUP(A4,RegionBenchmarks!$A$1:$A$6,RegionBenchmarks!$B$1:$B$6)</f>
        <v>68500</v>
      </c>
    </row>
    <row r="5" spans="1:3" x14ac:dyDescent="0.35">
      <c r="A5" s="23" t="s">
        <v>18</v>
      </c>
      <c r="B5">
        <v>1569536</v>
      </c>
      <c r="C5" s="33">
        <f>_xlfn.XLOOKUP(A5,RegionBenchmarks!$A$1:$A$6,RegionBenchmarks!$B$1:$B$6)</f>
        <v>60000</v>
      </c>
    </row>
    <row r="6" spans="1:3" x14ac:dyDescent="0.35">
      <c r="A6" s="23" t="s">
        <v>30</v>
      </c>
      <c r="B6">
        <v>710424</v>
      </c>
      <c r="C6" s="33">
        <f>_xlfn.XLOOKUP(A6,RegionBenchmarks!$A$1:$A$6,RegionBenchmarks!$B$1:$B$6)</f>
        <v>55000</v>
      </c>
    </row>
    <row r="7" spans="1:3" x14ac:dyDescent="0.35">
      <c r="A7" s="23" t="s">
        <v>73</v>
      </c>
      <c r="B7">
        <v>5861281</v>
      </c>
      <c r="C7" s="3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E688-0586-4627-873D-27E906751959}">
  <dimension ref="A1:O31"/>
  <sheetViews>
    <sheetView showGridLines="0" tabSelected="1" workbookViewId="0">
      <selection activeCell="G18" sqref="G18"/>
    </sheetView>
  </sheetViews>
  <sheetFormatPr defaultRowHeight="14.5" x14ac:dyDescent="0.35"/>
  <cols>
    <col min="1" max="1" width="12.36328125" bestFit="1" customWidth="1"/>
    <col min="2" max="2" width="14.36328125" bestFit="1" customWidth="1"/>
  </cols>
  <sheetData>
    <row r="1" spans="1:15" x14ac:dyDescent="0.35">
      <c r="A1" t="s">
        <v>114</v>
      </c>
      <c r="B1" t="s">
        <v>115</v>
      </c>
    </row>
    <row r="3" spans="1:15" x14ac:dyDescent="0.35">
      <c r="A3" t="s">
        <v>116</v>
      </c>
      <c r="B3" t="s">
        <v>118</v>
      </c>
    </row>
    <row r="4" spans="1:15" x14ac:dyDescent="0.35">
      <c r="O4" t="s">
        <v>126</v>
      </c>
    </row>
    <row r="5" spans="1:15" x14ac:dyDescent="0.35">
      <c r="A5" t="s">
        <v>119</v>
      </c>
      <c r="B5" t="s">
        <v>120</v>
      </c>
    </row>
    <row r="7" spans="1:15" x14ac:dyDescent="0.35">
      <c r="A7" t="s">
        <v>121</v>
      </c>
      <c r="B7" t="s">
        <v>122</v>
      </c>
    </row>
    <row r="9" spans="1:15" x14ac:dyDescent="0.35">
      <c r="A9" t="s">
        <v>123</v>
      </c>
      <c r="B9" t="s">
        <v>124</v>
      </c>
    </row>
    <row r="10" spans="1:15" x14ac:dyDescent="0.35">
      <c r="B10" t="s">
        <v>125</v>
      </c>
    </row>
    <row r="13" spans="1:15" x14ac:dyDescent="0.35">
      <c r="A13" s="22" t="s">
        <v>72</v>
      </c>
      <c r="B13" t="s">
        <v>71</v>
      </c>
    </row>
    <row r="14" spans="1:15" x14ac:dyDescent="0.35">
      <c r="A14" s="23" t="s">
        <v>32</v>
      </c>
      <c r="B14" s="34">
        <v>1086352</v>
      </c>
    </row>
    <row r="15" spans="1:15" x14ac:dyDescent="0.35">
      <c r="A15" s="24" t="s">
        <v>59</v>
      </c>
      <c r="B15" s="34">
        <v>97980</v>
      </c>
    </row>
    <row r="16" spans="1:15" x14ac:dyDescent="0.35">
      <c r="A16" s="36">
        <v>45000</v>
      </c>
      <c r="B16" s="34">
        <v>97980</v>
      </c>
    </row>
    <row r="17" spans="1:2" x14ac:dyDescent="0.35">
      <c r="A17" s="24" t="s">
        <v>60</v>
      </c>
      <c r="B17" s="34">
        <v>81966</v>
      </c>
    </row>
    <row r="18" spans="1:2" x14ac:dyDescent="0.35">
      <c r="A18" s="36">
        <v>45000</v>
      </c>
      <c r="B18" s="34">
        <v>81966</v>
      </c>
    </row>
    <row r="19" spans="1:2" x14ac:dyDescent="0.35">
      <c r="A19" s="24" t="s">
        <v>61</v>
      </c>
      <c r="B19" s="34">
        <v>183700</v>
      </c>
    </row>
    <row r="20" spans="1:2" x14ac:dyDescent="0.35">
      <c r="A20" s="36">
        <v>45000</v>
      </c>
      <c r="B20" s="34">
        <v>183700</v>
      </c>
    </row>
    <row r="21" spans="1:2" x14ac:dyDescent="0.35">
      <c r="A21" s="24" t="s">
        <v>64</v>
      </c>
      <c r="B21" s="34">
        <v>145338</v>
      </c>
    </row>
    <row r="22" spans="1:2" x14ac:dyDescent="0.35">
      <c r="A22" s="36">
        <v>45000</v>
      </c>
      <c r="B22" s="34">
        <v>145338</v>
      </c>
    </row>
    <row r="23" spans="1:2" x14ac:dyDescent="0.35">
      <c r="A23" s="24" t="s">
        <v>65</v>
      </c>
      <c r="B23" s="34">
        <v>359960</v>
      </c>
    </row>
    <row r="24" spans="1:2" x14ac:dyDescent="0.35">
      <c r="A24" s="36">
        <v>45000</v>
      </c>
      <c r="B24" s="34">
        <v>359960</v>
      </c>
    </row>
    <row r="25" spans="1:2" x14ac:dyDescent="0.35">
      <c r="A25" s="24" t="s">
        <v>67</v>
      </c>
      <c r="B25" s="34">
        <v>93994</v>
      </c>
    </row>
    <row r="26" spans="1:2" x14ac:dyDescent="0.35">
      <c r="A26" s="36">
        <v>45000</v>
      </c>
      <c r="B26" s="34">
        <v>93994</v>
      </c>
    </row>
    <row r="27" spans="1:2" x14ac:dyDescent="0.35">
      <c r="A27" s="24" t="s">
        <v>68</v>
      </c>
      <c r="B27" s="34">
        <v>61364</v>
      </c>
    </row>
    <row r="28" spans="1:2" x14ac:dyDescent="0.35">
      <c r="A28" s="36">
        <v>45000</v>
      </c>
      <c r="B28" s="34">
        <v>61364</v>
      </c>
    </row>
    <row r="29" spans="1:2" x14ac:dyDescent="0.35">
      <c r="A29" s="24" t="s">
        <v>69</v>
      </c>
      <c r="B29" s="34">
        <v>62050</v>
      </c>
    </row>
    <row r="30" spans="1:2" x14ac:dyDescent="0.35">
      <c r="A30" s="36">
        <v>45000</v>
      </c>
      <c r="B30" s="34">
        <v>62050</v>
      </c>
    </row>
    <row r="31" spans="1:2" x14ac:dyDescent="0.35">
      <c r="A31" s="23" t="s">
        <v>73</v>
      </c>
      <c r="B31" s="34">
        <v>1086352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MonthlySalesData</vt:lpstr>
      <vt:lpstr>EmployeeMaster</vt:lpstr>
      <vt:lpstr>RegionBenchmarks</vt:lpstr>
      <vt:lpstr>Total revenue </vt:lpstr>
      <vt:lpstr>Avg Unit sold</vt:lpstr>
      <vt:lpstr>Grouped Transactions </vt:lpstr>
      <vt:lpstr>Revenue ranges </vt:lpstr>
      <vt:lpstr>Performance</vt:lpstr>
      <vt:lpstr>Drill down </vt:lpstr>
      <vt:lpstr>Bonus </vt:lpstr>
      <vt:lpstr>Benchmarks </vt:lpstr>
      <vt:lpstr>Brainstorming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Siddharth kushwaha</cp:lastModifiedBy>
  <dcterms:created xsi:type="dcterms:W3CDTF">2025-07-17T15:06:37Z</dcterms:created>
  <dcterms:modified xsi:type="dcterms:W3CDTF">2025-11-18T11:49:14Z</dcterms:modified>
</cp:coreProperties>
</file>